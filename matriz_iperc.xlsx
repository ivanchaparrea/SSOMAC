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uario\OneDrive\Documentos\TRABAJO 2\IPERC\"/>
    </mc:Choice>
  </mc:AlternateContent>
  <xr:revisionPtr revIDLastSave="0" documentId="13_ncr:1_{2920F6B2-34C6-4ACA-A37F-0F7279EAB21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Matriz" sheetId="1" r:id="rId1"/>
    <sheet name="Tabla SxP " sheetId="2" r:id="rId2"/>
    <sheet name="Listado P-RC" sheetId="3" r:id="rId3"/>
    <sheet name=" Puestos de Trabajo 1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8" roundtripDataChecksum="ifCfcVSzkZWeWPjse7JrRtjio3AJsKBdwJNYlhsquWg="/>
    </ext>
  </extLst>
</workbook>
</file>

<file path=xl/calcChain.xml><?xml version="1.0" encoding="utf-8"?>
<calcChain xmlns="http://schemas.openxmlformats.org/spreadsheetml/2006/main">
  <c r="Z29" i="1" l="1"/>
  <c r="Y29" i="1" a="1"/>
  <c r="Y29" i="1" s="1"/>
  <c r="Q29" i="1"/>
  <c r="P29" i="1"/>
  <c r="Z81" i="1"/>
  <c r="Y81" i="1" a="1"/>
  <c r="Y81" i="1" s="1"/>
  <c r="Q81" i="1"/>
  <c r="P81" i="1"/>
  <c r="Z25" i="1"/>
  <c r="Z26" i="1"/>
  <c r="Z27" i="1"/>
  <c r="Z28" i="1"/>
  <c r="Z30" i="1"/>
  <c r="Z31" i="1"/>
  <c r="Z32" i="1"/>
  <c r="Z33" i="1"/>
  <c r="Y25" i="1" a="1"/>
  <c r="Y25" i="1" s="1"/>
  <c r="Y26" i="1" a="1"/>
  <c r="Y26" i="1" s="1"/>
  <c r="Y27" i="1" a="1"/>
  <c r="Y27" i="1" s="1"/>
  <c r="Y28" i="1" a="1"/>
  <c r="Y28" i="1" s="1"/>
  <c r="Y30" i="1" a="1"/>
  <c r="Y30" i="1" s="1"/>
  <c r="Y31" i="1" a="1"/>
  <c r="Y31" i="1" s="1"/>
  <c r="Y32" i="1" a="1"/>
  <c r="Y32" i="1" s="1"/>
  <c r="Y33" i="1" a="1"/>
  <c r="Y33" i="1" s="1"/>
  <c r="Q25" i="1"/>
  <c r="Q26" i="1"/>
  <c r="Q27" i="1"/>
  <c r="Q28" i="1"/>
  <c r="Q30" i="1"/>
  <c r="Q31" i="1"/>
  <c r="Q32" i="1"/>
  <c r="Q33" i="1"/>
  <c r="P25" i="1"/>
  <c r="P26" i="1"/>
  <c r="P27" i="1"/>
  <c r="P28" i="1"/>
  <c r="P30" i="1"/>
  <c r="P31" i="1"/>
  <c r="P32" i="1"/>
  <c r="P33" i="1"/>
  <c r="Y24" i="1" a="1"/>
  <c r="Y24" i="1" s="1"/>
  <c r="Z24" i="1"/>
  <c r="P24" i="1"/>
  <c r="Q24" i="1"/>
  <c r="Y43" i="1" a="1"/>
  <c r="Y43" i="1" s="1"/>
  <c r="Z43" i="1"/>
  <c r="P43" i="1"/>
  <c r="Q43" i="1"/>
  <c r="Y42" i="1" a="1"/>
  <c r="Y42" i="1" s="1"/>
  <c r="Z42" i="1"/>
  <c r="P42" i="1"/>
  <c r="Q42" i="1"/>
  <c r="Y71" i="1" a="1"/>
  <c r="Y71" i="1" s="1"/>
  <c r="Z71" i="1"/>
  <c r="P71" i="1"/>
  <c r="Q71" i="1"/>
  <c r="Z74" i="1" l="1"/>
  <c r="Z75" i="1"/>
  <c r="Y74" i="1" a="1"/>
  <c r="Y74" i="1" s="1"/>
  <c r="Y75" i="1" a="1"/>
  <c r="Y75" i="1" s="1"/>
  <c r="Q75" i="1"/>
  <c r="Q74" i="1"/>
  <c r="P74" i="1"/>
  <c r="P75" i="1"/>
  <c r="Y73" i="1" a="1"/>
  <c r="Y73" i="1" s="1"/>
  <c r="Z73" i="1"/>
  <c r="P73" i="1"/>
  <c r="Q73" i="1"/>
  <c r="Z63" i="1"/>
  <c r="Y63" i="1" a="1"/>
  <c r="Y63" i="1" s="1"/>
  <c r="Q63" i="1"/>
  <c r="P63" i="1"/>
  <c r="Z70" i="1"/>
  <c r="Y70" i="1" a="1"/>
  <c r="Y70" i="1" s="1"/>
  <c r="Q70" i="1"/>
  <c r="P70" i="1"/>
  <c r="Z58" i="1"/>
  <c r="Y58" i="1" a="1"/>
  <c r="Y58" i="1" s="1"/>
  <c r="Q58" i="1"/>
  <c r="P58" i="1"/>
  <c r="Z69" i="1"/>
  <c r="Y69" i="1" a="1"/>
  <c r="Y69" i="1" s="1"/>
  <c r="Q69" i="1"/>
  <c r="P69" i="1"/>
  <c r="Z68" i="1"/>
  <c r="Y68" i="1" a="1"/>
  <c r="Y68" i="1" s="1"/>
  <c r="Q68" i="1"/>
  <c r="P68" i="1"/>
  <c r="Z59" i="1"/>
  <c r="Y59" i="1" a="1"/>
  <c r="Y59" i="1" s="1"/>
  <c r="Q59" i="1"/>
  <c r="P59" i="1"/>
  <c r="P76" i="1" l="1"/>
  <c r="Q76" i="1"/>
  <c r="P77" i="1"/>
  <c r="Q77" i="1"/>
  <c r="P78" i="1"/>
  <c r="Q78" i="1"/>
  <c r="P79" i="1"/>
  <c r="Q79" i="1"/>
  <c r="P80" i="1"/>
  <c r="Q80" i="1"/>
  <c r="P82" i="1"/>
  <c r="Q82" i="1"/>
  <c r="P83" i="1"/>
  <c r="Q83" i="1"/>
  <c r="P19" i="1"/>
  <c r="Q19" i="1"/>
  <c r="Y19" i="1" a="1"/>
  <c r="Y19" i="1" s="1"/>
  <c r="Z19" i="1"/>
  <c r="Y20" i="1" a="1"/>
  <c r="Y20" i="1" s="1"/>
  <c r="Z20" i="1"/>
  <c r="Y41" i="1" a="1"/>
  <c r="Y41" i="1" s="1"/>
  <c r="Z41" i="1"/>
  <c r="Y44" i="1" a="1"/>
  <c r="Y44" i="1" s="1"/>
  <c r="Z44" i="1"/>
  <c r="Y45" i="1" a="1"/>
  <c r="Y45" i="1" s="1"/>
  <c r="Z45" i="1"/>
  <c r="P45" i="1"/>
  <c r="Q45" i="1"/>
  <c r="P22" i="1"/>
  <c r="Q22" i="1"/>
  <c r="P23" i="1"/>
  <c r="Q23" i="1"/>
  <c r="P34" i="1"/>
  <c r="Q34" i="1"/>
  <c r="P35" i="1"/>
  <c r="Q35" i="1"/>
  <c r="P36" i="1"/>
  <c r="Q36" i="1"/>
  <c r="P37" i="1"/>
  <c r="Q37" i="1"/>
  <c r="P38" i="1"/>
  <c r="Q38" i="1"/>
  <c r="P39" i="1"/>
  <c r="Q39" i="1"/>
  <c r="P40" i="1"/>
  <c r="Q40" i="1"/>
  <c r="P41" i="1"/>
  <c r="Q41" i="1"/>
  <c r="P44" i="1"/>
  <c r="Q44" i="1"/>
  <c r="P46" i="1"/>
  <c r="Q46" i="1"/>
  <c r="P47" i="1"/>
  <c r="Q47" i="1"/>
  <c r="P48" i="1"/>
  <c r="Q48" i="1"/>
  <c r="P49" i="1"/>
  <c r="Q49" i="1"/>
  <c r="P50" i="1"/>
  <c r="Q50" i="1"/>
  <c r="P51" i="1"/>
  <c r="Q51" i="1"/>
  <c r="P52" i="1"/>
  <c r="Q52" i="1"/>
  <c r="P53" i="1"/>
  <c r="Q53" i="1"/>
  <c r="P54" i="1"/>
  <c r="Q54" i="1"/>
  <c r="P55" i="1"/>
  <c r="Q55" i="1"/>
  <c r="P56" i="1"/>
  <c r="Q56" i="1"/>
  <c r="P57" i="1"/>
  <c r="Q57" i="1"/>
  <c r="P60" i="1"/>
  <c r="Q60" i="1"/>
  <c r="P61" i="1"/>
  <c r="Q61" i="1"/>
  <c r="P62" i="1"/>
  <c r="Q62" i="1"/>
  <c r="P64" i="1"/>
  <c r="Q64" i="1"/>
  <c r="P65" i="1"/>
  <c r="Q65" i="1"/>
  <c r="P66" i="1"/>
  <c r="Q66" i="1"/>
  <c r="P67" i="1"/>
  <c r="Q67" i="1"/>
  <c r="P72" i="1"/>
  <c r="Q72" i="1"/>
  <c r="P84" i="1"/>
  <c r="Q84" i="1"/>
  <c r="P20" i="1"/>
  <c r="Q20" i="1"/>
  <c r="Y39" i="1" a="1"/>
  <c r="Y39" i="1" s="1"/>
  <c r="Z39" i="1"/>
  <c r="Y40" i="1" a="1"/>
  <c r="Y40" i="1" s="1"/>
  <c r="Z40" i="1"/>
  <c r="Y46" i="1" a="1"/>
  <c r="Y46" i="1" s="1"/>
  <c r="Z46" i="1"/>
  <c r="Y47" i="1" a="1"/>
  <c r="Y47" i="1" s="1"/>
  <c r="Z47" i="1"/>
  <c r="Y48" i="1" a="1"/>
  <c r="Y48" i="1" s="1"/>
  <c r="Z48" i="1"/>
  <c r="Y49" i="1" a="1"/>
  <c r="Y49" i="1" s="1"/>
  <c r="Z49" i="1"/>
  <c r="Y50" i="1" a="1"/>
  <c r="Y50" i="1" s="1"/>
  <c r="Z50" i="1"/>
  <c r="Y51" i="1" a="1"/>
  <c r="Y51" i="1" s="1"/>
  <c r="Z51" i="1"/>
  <c r="Y52" i="1" a="1"/>
  <c r="Y52" i="1" s="1"/>
  <c r="Z52" i="1"/>
  <c r="Y53" i="1" a="1"/>
  <c r="Y53" i="1" s="1"/>
  <c r="Z53" i="1"/>
  <c r="Y54" i="1" a="1"/>
  <c r="Y54" i="1" s="1"/>
  <c r="Z54" i="1"/>
  <c r="Y55" i="1" a="1"/>
  <c r="Y55" i="1" s="1"/>
  <c r="Z55" i="1"/>
  <c r="Y56" i="1" a="1"/>
  <c r="Y56" i="1" s="1"/>
  <c r="Z56" i="1"/>
  <c r="Y57" i="1" a="1"/>
  <c r="Y57" i="1" s="1"/>
  <c r="Z57" i="1"/>
  <c r="Y60" i="1" a="1"/>
  <c r="Y60" i="1" s="1"/>
  <c r="Z60" i="1"/>
  <c r="Y61" i="1" a="1"/>
  <c r="Y61" i="1" s="1"/>
  <c r="Z61" i="1"/>
  <c r="Y62" i="1" a="1"/>
  <c r="Y62" i="1" s="1"/>
  <c r="Z62" i="1"/>
  <c r="Y64" i="1" a="1"/>
  <c r="Y64" i="1" s="1"/>
  <c r="Z64" i="1"/>
  <c r="Y65" i="1" a="1"/>
  <c r="Y65" i="1" s="1"/>
  <c r="Z65" i="1"/>
  <c r="Y66" i="1" a="1"/>
  <c r="Y66" i="1" s="1"/>
  <c r="Z66" i="1"/>
  <c r="Y67" i="1" a="1"/>
  <c r="Y67" i="1" s="1"/>
  <c r="Z67" i="1"/>
  <c r="Y72" i="1" a="1"/>
  <c r="Y72" i="1" s="1"/>
  <c r="Z72" i="1"/>
  <c r="Y76" i="1" a="1"/>
  <c r="Y76" i="1" s="1"/>
  <c r="Z76" i="1"/>
  <c r="Y77" i="1" a="1"/>
  <c r="Y77" i="1" s="1"/>
  <c r="Z77" i="1"/>
  <c r="Y78" i="1" a="1"/>
  <c r="Y78" i="1" s="1"/>
  <c r="Z78" i="1"/>
  <c r="Y79" i="1" a="1"/>
  <c r="Y79" i="1" s="1"/>
  <c r="Z79" i="1"/>
  <c r="Y80" i="1" a="1"/>
  <c r="Y80" i="1" s="1"/>
  <c r="Z80" i="1"/>
  <c r="Y82" i="1" a="1"/>
  <c r="Y82" i="1" s="1"/>
  <c r="Z82" i="1"/>
  <c r="Y83" i="1" a="1"/>
  <c r="Y83" i="1" s="1"/>
  <c r="Z83" i="1"/>
  <c r="Y84" i="1" a="1"/>
  <c r="Y84" i="1" s="1"/>
  <c r="Z84" i="1"/>
  <c r="Y21" i="1" a="1"/>
  <c r="Y21" i="1" s="1"/>
  <c r="Z21" i="1"/>
  <c r="Y22" i="1" a="1"/>
  <c r="Y22" i="1" s="1"/>
  <c r="Z22" i="1"/>
  <c r="Y85" i="1" a="1"/>
  <c r="Y85" i="1" s="1"/>
  <c r="Z85" i="1"/>
  <c r="Y86" i="1" a="1"/>
  <c r="Y86" i="1" s="1"/>
  <c r="Z86" i="1"/>
  <c r="P85" i="1"/>
  <c r="Q85" i="1"/>
  <c r="P86" i="1"/>
  <c r="Q86" i="1"/>
  <c r="Y38" i="1" a="1"/>
  <c r="Y38" i="1" s="1"/>
  <c r="Z38" i="1"/>
  <c r="B4" i="4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A4" i="3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Z87" i="1"/>
  <c r="Y87" i="1" a="1"/>
  <c r="Y87" i="1" s="1"/>
  <c r="Q87" i="1"/>
  <c r="P87" i="1"/>
  <c r="Z37" i="1"/>
  <c r="Y37" i="1" a="1"/>
  <c r="Y37" i="1" s="1"/>
  <c r="Z36" i="1"/>
  <c r="Y36" i="1" a="1"/>
  <c r="Y36" i="1" s="1"/>
  <c r="Z35" i="1"/>
  <c r="Y35" i="1" a="1"/>
  <c r="Y35" i="1" s="1"/>
  <c r="Z34" i="1"/>
  <c r="Y34" i="1" a="1"/>
  <c r="Y34" i="1" s="1"/>
  <c r="Z23" i="1"/>
  <c r="Y23" i="1" a="1"/>
  <c r="Y23" i="1" s="1"/>
  <c r="Q21" i="1"/>
  <c r="P2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4" authorId="0" shapeId="0" xr:uid="{00000000-0006-0000-0000-000001000000}">
      <text>
        <r>
          <rPr>
            <sz val="10"/>
            <color rgb="FF000000"/>
            <rFont val="Arial"/>
            <family val="2"/>
            <scheme val="minor"/>
          </rPr>
          <t>======
ID#AAABMOJ5f7k
Jackeline Patricia Saavedra Diaz    (2022-06-02 22:13:58)
Colocar el número del puesto de trabajo</t>
        </r>
      </text>
    </comment>
    <comment ref="G14" authorId="0" shapeId="0" xr:uid="{00000000-0006-0000-0000-000002000000}">
      <text>
        <r>
          <rPr>
            <sz val="10"/>
            <color rgb="FF000000"/>
            <rFont val="Arial"/>
            <family val="2"/>
            <scheme val="minor"/>
          </rPr>
          <t>======
ID#AAAB9FtGQIg
Jackeline Patricia Saavedra Diaz    (2022-06-02 22:13:58)
Colocar el número del puesto de trabajo</t>
        </r>
      </text>
    </comment>
    <comment ref="A91" authorId="0" shapeId="0" xr:uid="{00000000-0006-0000-0000-000003000000}">
      <text>
        <r>
          <rPr>
            <sz val="10"/>
            <color rgb="FF000000"/>
            <rFont val="Arial"/>
            <family val="2"/>
            <scheme val="minor"/>
          </rPr>
          <t>======
ID#AAABMOJ5f9s
Jackeline Patricia Saavedra Diaz    (2022-06-02 22:13:58)
Incluir normativa legal vigente en cada actualización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4dQtiPl5C00bZeg+ECSX8+DGxpA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5" authorId="0" shapeId="0" xr:uid="{00000000-0006-0000-0100-000001000000}">
      <text>
        <r>
          <rPr>
            <sz val="10"/>
            <color rgb="FF000000"/>
            <rFont val="Arial"/>
            <family val="2"/>
            <scheme val="minor"/>
          </rPr>
          <t>======
ID#AAABMOJ5f7w
Jackeline Patricia Saavedra Diaz    (2022-06-02 22:13:58)
Frecuencia de exposición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NHwrtjMhJBWnAc+nIP7pog/wZYg=="/>
    </ext>
  </extLst>
</comments>
</file>

<file path=xl/sharedStrings.xml><?xml version="1.0" encoding="utf-8"?>
<sst xmlns="http://schemas.openxmlformats.org/spreadsheetml/2006/main" count="1773" uniqueCount="1110">
  <si>
    <t xml:space="preserve">FECHA DE APROBACIÓN </t>
  </si>
  <si>
    <t>MATRIZ DE IDENTIFICACIÓN DE PELIGROS, EVALUACIÓN DE RIESGOS Y CONTROLES
IPERC</t>
  </si>
  <si>
    <t>CÓDIGO DE IPERC:</t>
  </si>
  <si>
    <t>MGTRIS-SST.IPERC-01</t>
  </si>
  <si>
    <t>REVISIÓN DEL IPERC:</t>
  </si>
  <si>
    <t>Razón Social</t>
  </si>
  <si>
    <t>MG TRANSPORTE INGENIERIA SERVICIOS S.A.C.</t>
  </si>
  <si>
    <t>RUC:</t>
  </si>
  <si>
    <t>Dirección</t>
  </si>
  <si>
    <t>Actividad Económica:</t>
  </si>
  <si>
    <t xml:space="preserve">Construcción </t>
  </si>
  <si>
    <t>DATOS DEL PROCESO</t>
  </si>
  <si>
    <t>Área</t>
  </si>
  <si>
    <t>Responsables del Proceso:</t>
  </si>
  <si>
    <t>RUT LOZANO RODRIGUEZ</t>
  </si>
  <si>
    <t>Proceso:</t>
  </si>
  <si>
    <t>MIGUEL GUTIERREZ PASACHE</t>
  </si>
  <si>
    <t xml:space="preserve">Facilitador SST: </t>
  </si>
  <si>
    <t>GESTIÓN DE SEGURIDAD Y SALUD EN EL TRABAJO</t>
  </si>
  <si>
    <t>RISST</t>
  </si>
  <si>
    <t>SI</t>
  </si>
  <si>
    <t>Comité de SST</t>
  </si>
  <si>
    <t>Programa Anual de SST</t>
  </si>
  <si>
    <t>Accidentes Mortales</t>
  </si>
  <si>
    <t xml:space="preserve">Días Perdidos </t>
  </si>
  <si>
    <t>0</t>
  </si>
  <si>
    <t>ACTIVIDAD</t>
  </si>
  <si>
    <t>TAREA</t>
  </si>
  <si>
    <t>SITUACIÓN</t>
  </si>
  <si>
    <t>PUESTO DE TRABAJO</t>
  </si>
  <si>
    <t>GENERO PUESTO DE TRABAJO</t>
  </si>
  <si>
    <t>INSUMOS,
PRODUCTOS,
MAQUINARIA Y/O
EQUIPOS
A UTILIZAR</t>
  </si>
  <si>
    <t>CONTROLES EXISTENTES</t>
  </si>
  <si>
    <t>ACEPTABILIDAD DEL RIESGO</t>
  </si>
  <si>
    <t>JERARQUÍA  DE CONTROLES PROPUESTOS PARA REDUCIR EL RIESGO</t>
  </si>
  <si>
    <t>RESPONSABLE DE GESTIONAR LOS CONTROLES A IMPLEMENTAR</t>
  </si>
  <si>
    <t>TIPO</t>
  </si>
  <si>
    <t>FUENTE GENERADORA DE PELIGRO</t>
  </si>
  <si>
    <t>RIESGO</t>
  </si>
  <si>
    <t>RIESGO CON CONTROLES 
ACTUALES</t>
  </si>
  <si>
    <t>Rutinaria</t>
  </si>
  <si>
    <t>No Rutinaria</t>
  </si>
  <si>
    <t>Emergencia</t>
  </si>
  <si>
    <t>EVENTO PELIGROSO
(PELIGRO)</t>
  </si>
  <si>
    <t>CONSECUENCIAS
(RIESGO)</t>
  </si>
  <si>
    <t>INDICE DE PROBABILIDAD 
NP</t>
  </si>
  <si>
    <t>INDICE DE SEVERIDAD
NS</t>
  </si>
  <si>
    <t>NIVEL DE RIESGO</t>
  </si>
  <si>
    <t>FUERTE</t>
  </si>
  <si>
    <t>MEDIO</t>
  </si>
  <si>
    <t>BAJO</t>
  </si>
  <si>
    <t xml:space="preserve">INDICE DE PROBABILIDAD </t>
  </si>
  <si>
    <t>INDICE DE SEVERIDAD</t>
  </si>
  <si>
    <t>ELIMINACIÓN</t>
  </si>
  <si>
    <t>SUSTITUCIÓN</t>
  </si>
  <si>
    <t>CONTROLES DE INGENIERIA (AISLAMIENTO FISICO)</t>
  </si>
  <si>
    <t>CONTROLES ADMINISTRATIVOS
(ORGANIZACIÓN)</t>
  </si>
  <si>
    <t>PROTECCIÓN
 (EPP)</t>
  </si>
  <si>
    <t>(NP1xNS1)</t>
  </si>
  <si>
    <t>MP</t>
  </si>
  <si>
    <t>NS</t>
  </si>
  <si>
    <t xml:space="preserve">ACTIVIDADES PRELIMINARES </t>
  </si>
  <si>
    <t>X</t>
  </si>
  <si>
    <t>M</t>
  </si>
  <si>
    <t>ERGONÓMICO</t>
  </si>
  <si>
    <t>Postura Inadecuada / Forzada</t>
  </si>
  <si>
    <t>Ergonómico por postura inadecuada / forzada</t>
  </si>
  <si>
    <t>Distensión, Torsión, Fatiga y DORT (disturbios osteo-musculares relacionados al trabajo)</t>
  </si>
  <si>
    <t>NA</t>
  </si>
  <si>
    <t>Supervisor SST</t>
  </si>
  <si>
    <t>Trazo y Replanteo topográfico durante la obra</t>
  </si>
  <si>
    <t>MECÁNICO</t>
  </si>
  <si>
    <t>Guantes, casco</t>
  </si>
  <si>
    <t>SC ENSAYO DE PROCTOR MODIFICADO</t>
  </si>
  <si>
    <t>Especialista de Suelos</t>
  </si>
  <si>
    <t>AFIRMADO
LAMPA 
COSTAL</t>
  </si>
  <si>
    <t>FÍSICO</t>
  </si>
  <si>
    <t>Polvo (Material Particulado)</t>
  </si>
  <si>
    <t>Inhalación de polvo (material particulado)</t>
  </si>
  <si>
    <t>Neumoconiosis, irritación, intoxicación y problemas alérgicos</t>
  </si>
  <si>
    <t>Eliminar polvo</t>
  </si>
  <si>
    <t>Material húmedo</t>
  </si>
  <si>
    <t>Riego de área</t>
  </si>
  <si>
    <t>Control de exposición</t>
  </si>
  <si>
    <t>Mascarilla</t>
  </si>
  <si>
    <t>SC MOVILIZACIÓN Y DESMOVILIZACIÓN DE EQUIPOS Y HERRAMIENTAS</t>
  </si>
  <si>
    <t>Chofer de camabaja</t>
  </si>
  <si>
    <t>Transporte de carga</t>
  </si>
  <si>
    <t>Contusión, Aplastamiento 
(Superficie Cutánea Intacta), 
Traumatismo, Muerte</t>
  </si>
  <si>
    <t>Prohibir paso bajo cargas 
y sobrecarga</t>
  </si>
  <si>
    <t>Mallas en tolvas, topes y 
calzos, puntos de amarre 
certificados.</t>
  </si>
  <si>
    <t>checklist; zona de carga 
señalizada.</t>
  </si>
  <si>
    <t>Casco,  barbiquejo, 
chaleco, botas.</t>
  </si>
  <si>
    <t>Operador de cargador frontal</t>
  </si>
  <si>
    <t>Fallas Mecánicas en vehículos y equipos</t>
  </si>
  <si>
    <t>Colisión/Atropello/Volcadura</t>
  </si>
  <si>
    <t>Golpes, heridas, politraumatismo, muerte</t>
  </si>
  <si>
    <t>Señalizar ruta y delimitar 
zona de maniobra.</t>
  </si>
  <si>
    <t>Charla diaria y 
coordinación por frente de 
trabajo.</t>
  </si>
  <si>
    <t>Casco, chaleco, botas, 
lentes.</t>
  </si>
  <si>
    <t>Operador de cargador frontal
Chofer de volquete</t>
  </si>
  <si>
    <t>Retirar personal de la zona 
de carga y descarga.</t>
  </si>
  <si>
    <t>Usar volquetes adecuados 
al terreno y carga.</t>
  </si>
  <si>
    <t>Definir ruta de 
ingreso/salida y zona de 
descarga.</t>
  </si>
  <si>
    <t>Apoyo de vigía y control de 
maniobras.</t>
  </si>
  <si>
    <t>SUMINISTRO DE AFIRMADO PARA BASE GRANULAR</t>
  </si>
  <si>
    <t>Chofer de volquete</t>
  </si>
  <si>
    <t>VOLQUETE
AFIRMADO</t>
  </si>
  <si>
    <t>Carga y tránsito del afirmado</t>
  </si>
  <si>
    <t>Atropello, volcadura, caída de material, atrapamiento</t>
  </si>
  <si>
    <t>Contusiones, fracturas, traumatismos, muerte</t>
  </si>
  <si>
    <t>Segregar circulación 
peatonal en frente activo</t>
  </si>
  <si>
    <t>Limitadores de 
velocidad/telemática</t>
  </si>
  <si>
    <t xml:space="preserve">rutas unidireccionales, límite ≤15 km/h, </t>
  </si>
  <si>
    <t>TENDIDO o ESPARCIMIENTO DE AFIRMADO SOBRE TERRENO</t>
  </si>
  <si>
    <t>CARGADOR FRONTAL
AFIRMADO</t>
  </si>
  <si>
    <t>Descarga del afirmado</t>
  </si>
  <si>
    <t>NIVELACION DE AFIRMADO SOBRE TERRENO</t>
  </si>
  <si>
    <t>Operador de motoniveladora
Peon</t>
  </si>
  <si>
    <t>Maquinaria en movimiento y tránsito interno</t>
  </si>
  <si>
    <t>Golpe, atropello por maquinaria</t>
  </si>
  <si>
    <t>Lesiones graves, contusiones, 
fracturas</t>
  </si>
  <si>
    <t>Retirar personal ajeno de 
la zona del afirmado.</t>
  </si>
  <si>
    <t>Usar equipo con alarma y 
mejor visibilidad.</t>
  </si>
  <si>
    <t>Señalización 
y ruta interna.</t>
  </si>
  <si>
    <t>COMPACTACIÓN DE BASE GRANULAR</t>
  </si>
  <si>
    <t>Operador de rodillo compactador
Peon</t>
  </si>
  <si>
    <t>Máquinas de compactación y 
tránsito</t>
  </si>
  <si>
    <t>Atropello/atrapamiento</t>
  </si>
  <si>
    <t>Lesiones graves</t>
  </si>
  <si>
    <t>ENSAYO DE DENSIDAD DE CAMPO (CONO DE ARENA)</t>
  </si>
  <si>
    <t>Tecnico de suelos</t>
  </si>
  <si>
    <t>EQUIPO PARA METODO DE CONO DE ARENA</t>
  </si>
  <si>
    <t>Trabajo en calzada con 
tránsito</t>
  </si>
  <si>
    <t>Golpe por vehículo</t>
  </si>
  <si>
    <t>Contusiones, trauma</t>
  </si>
  <si>
    <t>Retirar personal fuera del 
área de ensayo.</t>
  </si>
  <si>
    <t>Mover el ensayo a zona 
segura cuando se pueda.</t>
  </si>
  <si>
    <t>Conos y cinta para aislar el 
punto.</t>
  </si>
  <si>
    <t>Señalero y aviso previo al 
inicio del ensayo.</t>
  </si>
  <si>
    <t>Casco, chaleco, botas.</t>
  </si>
  <si>
    <t>Caída de Objetos</t>
  </si>
  <si>
    <t>Operario
Oficial
Peon</t>
  </si>
  <si>
    <t>Movimientos Repetitivos</t>
  </si>
  <si>
    <t>Ergonómico por movimientos repetitivos</t>
  </si>
  <si>
    <t>Cervicalgía, Dorsalgia, Escoliosis, Síndrome de Túnel Carpiano, Lumbalgias, Bursitis, Celulitis, Cuello u hombro tensos, Dedo engatillado, Epicondilitis, Ganglios, Osteoartritis, tendinitis, Tenosinovitis.</t>
  </si>
  <si>
    <t>Reducir tarea</t>
  </si>
  <si>
    <t>Herramientas ergonómicas</t>
  </si>
  <si>
    <t>Apoyos</t>
  </si>
  <si>
    <t>Pausas</t>
  </si>
  <si>
    <t>Guantes</t>
  </si>
  <si>
    <t>Retirar cruces peatonales 
por la maniobra.</t>
  </si>
  <si>
    <t>Charla 5 minutos y 
control de tránsito interno.</t>
  </si>
  <si>
    <t>ELIMINACION DE MATERIAL EXCEDENTE</t>
  </si>
  <si>
    <t>CARGADOR FRONTAL Y VOLQUETE
AFIRMADO</t>
  </si>
  <si>
    <t>Carga, tránsito y descarga de 
material excedente</t>
  </si>
  <si>
    <t>Contusiones, fracturas, 
traumatismos, muerte</t>
  </si>
  <si>
    <t>VEREDAS</t>
  </si>
  <si>
    <t>Chofer de volquete
Operador de retroexcavadora</t>
  </si>
  <si>
    <t>VOLQUETE Y RETROEXCAVADORA
AFIRMADO</t>
  </si>
  <si>
    <t>Tránsito vehicular</t>
  </si>
  <si>
    <t>Fractura, Contusiones, Lesiones, Muerte</t>
  </si>
  <si>
    <t>TRINCHE
LAMPA
AFIRMADO</t>
  </si>
  <si>
    <t xml:space="preserve">Herramientas manuales y
esfuerzo físico </t>
  </si>
  <si>
    <t xml:space="preserve">Sobreesfuerzo y postura forzada, </t>
  </si>
  <si>
    <t>Dolor lumbar y fatiga muscular</t>
  </si>
  <si>
    <t>Retirar material sobrante y 
recorridos innecesarios.</t>
  </si>
  <si>
    <t>Usar herramientas más 
livianas cuando se pueda.</t>
  </si>
  <si>
    <t>Acopio cercano.</t>
  </si>
  <si>
    <t>Pausas cortas y rotación 
simple de tareas.</t>
  </si>
  <si>
    <t>Casco, guantes, botas.</t>
  </si>
  <si>
    <t>AFIRMADO
AGUA
RODILLO COMPACTADOR
VIBROAPISONADOR
PLANCHA COMPACTADORA</t>
  </si>
  <si>
    <t>atropellamieto/atrapamiento</t>
  </si>
  <si>
    <t>Excavación de zanja para encofrado</t>
  </si>
  <si>
    <t>Operador de retroexcavadora
Operario
Oficial
Peon</t>
  </si>
  <si>
    <t>RETROEXCAVADORA
LAMPA
PICO</t>
  </si>
  <si>
    <t>Generación de polvo y 
proyección de partículas</t>
  </si>
  <si>
    <t>Inhalación/irritación ocular</t>
  </si>
  <si>
    <t>IRR, conjuntivitis</t>
  </si>
  <si>
    <t>Eliminar dañadas</t>
  </si>
  <si>
    <t>Nuevas</t>
  </si>
  <si>
    <t>Área delimitada</t>
  </si>
  <si>
    <t>Supervisión</t>
  </si>
  <si>
    <t>Casco, guantes, lentes</t>
  </si>
  <si>
    <t>FENÓLICO
FORMAS METALICA</t>
  </si>
  <si>
    <t>Herramientas manuales y 
eléctricas</t>
  </si>
  <si>
    <t>Golpes y cortes</t>
  </si>
  <si>
    <t>Heridas, laceraciones</t>
  </si>
  <si>
    <t>Evitar taludes inestables</t>
  </si>
  <si>
    <t>Método mecánico</t>
  </si>
  <si>
    <t>Entibados</t>
  </si>
  <si>
    <t>Permiso de trabajo</t>
  </si>
  <si>
    <t>Casco, botas, chaleco</t>
  </si>
  <si>
    <t>Chofer de mixer</t>
  </si>
  <si>
    <t>MIXER DE CONCRETO</t>
  </si>
  <si>
    <t>Golpe/atrapamiento</t>
  </si>
  <si>
    <t>Eliminar fugas</t>
  </si>
  <si>
    <t>Equipo moderno</t>
  </si>
  <si>
    <t>Protecciones</t>
  </si>
  <si>
    <t>Capacitación</t>
  </si>
  <si>
    <t>Casco, guantes</t>
  </si>
  <si>
    <t>Laboratorio</t>
  </si>
  <si>
    <t>PROBETAS
CONCRETO F'C=175 kg/CM2</t>
  </si>
  <si>
    <t>Herramientas/equipos de 
ensayo</t>
  </si>
  <si>
    <t>Atrapamiento de manos/dedos</t>
  </si>
  <si>
    <t>Contusiones, cortes</t>
  </si>
  <si>
    <t>Retirar equipos dañados o 
improvisados.</t>
  </si>
  <si>
    <t>Usar equipos en mejor 
estado.</t>
  </si>
  <si>
    <t>Mesa firme y ordenada 
para ensayo.</t>
  </si>
  <si>
    <t>Inspección básica antes de 
usar.</t>
  </si>
  <si>
    <t>Guantes, lentes, botas.</t>
  </si>
  <si>
    <t>CONCRETO F'C=175 kg/CM2
VIBRADORA
LAMPA
REGLA METALICA</t>
  </si>
  <si>
    <t>QUÍMICO</t>
  </si>
  <si>
    <t>Alcalinidad del cemento</t>
  </si>
  <si>
    <t>Contacto con piel/ojos</t>
  </si>
  <si>
    <t>Dermatitis/quemaduras 
químicas</t>
  </si>
  <si>
    <t>Peon</t>
  </si>
  <si>
    <t>Ruido y astillas</t>
  </si>
  <si>
    <t>Proyección de astillas, ruido</t>
  </si>
  <si>
    <t>Irritación ocular, hipoacusia</t>
  </si>
  <si>
    <t>Eliminar defectos</t>
  </si>
  <si>
    <t>Guardas</t>
  </si>
  <si>
    <t>Lentes, guantes</t>
  </si>
  <si>
    <t>Operario</t>
  </si>
  <si>
    <t>PLANCHA
MEMBRANIL
PULVERIZADOR DE ESPALDA</t>
  </si>
  <si>
    <t>Postura forzada y esfuerzo 
repetitivo</t>
  </si>
  <si>
    <t>Sobreesfuerzo musculoesquelético</t>
  </si>
  <si>
    <t>Dolor lumbar, TME</t>
  </si>
  <si>
    <t>Reducir carga</t>
  </si>
  <si>
    <t>Herramientas livianas</t>
  </si>
  <si>
    <t>Mesas de apoyo</t>
  </si>
  <si>
    <t>Pausas activas</t>
  </si>
  <si>
    <t>Oficial
Peon</t>
  </si>
  <si>
    <t>PICO
BARRETA</t>
  </si>
  <si>
    <t>Trabajo repetitivo y posturas 
incómodas</t>
  </si>
  <si>
    <t>Sobreesfuerzo</t>
  </si>
  <si>
    <t>TME (trastornos 
musculoesqueléticos)</t>
  </si>
  <si>
    <t>LOCATIVO</t>
  </si>
  <si>
    <t>Ventilación</t>
  </si>
  <si>
    <t>LIMPIEZA</t>
  </si>
  <si>
    <t>HERRAMIENTAS MANUALES</t>
  </si>
  <si>
    <t>Pisos resbaladizos/disparejos</t>
  </si>
  <si>
    <t>Caída al mismo nivel</t>
  </si>
  <si>
    <t>Golpes, contusiones, 
traumatismo, muerte</t>
  </si>
  <si>
    <t>Eliminar 
charcos/obstáculos; retirar 
cables y materiales sueltos</t>
  </si>
  <si>
    <t>Pisos/tapetes 
antideslizantes en zonas 
críticas</t>
  </si>
  <si>
    <t>Demarcación de rutas 
peatonales</t>
  </si>
  <si>
    <t>Programa de orden y 
limpieza, señalización de 
‘piso mojado’</t>
  </si>
  <si>
    <t>Calzado SRC 
antideslizante, casco, 
guantes</t>
  </si>
  <si>
    <t>NORMATIVA LEGAL</t>
  </si>
  <si>
    <t>1.- Ley N°29783, Ley de Seguridad y Salud en el Trabajo.                                                                                                    
2.- Ley N° 30222, Modifica Ley N°29783, Seguridad y Salud en el Trabajo.                                                                   
3.- D.S. 005-2012-TR, Reglamento de Ley de Seguridad y Salud en el Trabajo y su modificatoria D.S. 006 – 2014- TR.                                                                                                                                                                                                 
4.- G-050, Norma de Seguridad Durante la Construcción.                                                                                                 
5.- Ley 30102, Medidas preventivas para la salud por Exposición prolongada a radiación solar.                               
6.- Código Nacional de Electricidad.                                                                                                                                       
7.- Reglamento Interno de Seguridad y Salud en el Trabajo.                                                                                                 
 8.- Plan de Seguridad y Salud en el Trabajo.                                                                                                                               
9.- Plan de Emergencias de MG Transporte Ingenieria Servicios SAC.                                                                                                                                      
10.- Ley que Establece la obligación de Elaborar y presentar Planes de Contingencias LEY Nº 28551.                        
11.- NTP 399.010-1-2004 Señales de seguridad.                                                                                                                   
12.- NTP 399.011-1974 Símbolos, medidas y disposiciones de señales de seguridad. 
13.- Resolución Ministerial N°448-2020-MINSA</t>
  </si>
  <si>
    <t>RESPONSABLE DEL REGISTRO</t>
  </si>
  <si>
    <t>COMITÉ SST</t>
  </si>
  <si>
    <t>GERENTE GENERAL</t>
  </si>
  <si>
    <t>APROBADO POR</t>
  </si>
  <si>
    <t>REVISADO POR</t>
  </si>
  <si>
    <t>ELABORADO POR</t>
  </si>
  <si>
    <t>EVALUACIÓN DE RIESGOS</t>
  </si>
  <si>
    <t>Severidad (S)</t>
  </si>
  <si>
    <t>Catastrófico (50)</t>
  </si>
  <si>
    <t>Mayor 
(20)</t>
  </si>
  <si>
    <t>Moderado Alto (10)</t>
  </si>
  <si>
    <t>Moderado
(5)</t>
  </si>
  <si>
    <t>Moderado Leve (2)</t>
  </si>
  <si>
    <t>Mínima
(1)</t>
  </si>
  <si>
    <t>Escasa
(1)</t>
  </si>
  <si>
    <t>Baja 
Probabilidad
(2)</t>
  </si>
  <si>
    <t>Puede
suceder
(3)</t>
  </si>
  <si>
    <t>Probable
(4)</t>
  </si>
  <si>
    <t>Muy probable
(5)</t>
  </si>
  <si>
    <t>Probabilidad</t>
  </si>
  <si>
    <t xml:space="preserve">CRITERIOS DE PROBABILIDAD </t>
  </si>
  <si>
    <t xml:space="preserve">CRITERIOS DE SEVERIDAD </t>
  </si>
  <si>
    <t>GRADO</t>
  </si>
  <si>
    <t>PROBABILIDAD</t>
  </si>
  <si>
    <t xml:space="preserve">PROBABILIDAD DE FRECUENCIA </t>
  </si>
  <si>
    <t>CRITERIOS</t>
  </si>
  <si>
    <t>Muy Probable</t>
  </si>
  <si>
    <t>Sucede con demasiada frecuencia (Más del 80%)</t>
  </si>
  <si>
    <t>Catastrófico</t>
  </si>
  <si>
    <t xml:space="preserve">Múltiples fatalidades. 
Varias personas con lesiones permanentes. 
Enfermedades incapacitantes que conducen a mortalidad temprana. </t>
  </si>
  <si>
    <t>Probable</t>
  </si>
  <si>
    <t>Sucede con frecuencia 
(Entre 51% y 80%)</t>
  </si>
  <si>
    <t>Mayor</t>
  </si>
  <si>
    <t xml:space="preserve">Una fatalidad o estado vegetal. 
Lesión que produce la muerte del trabajador. 
Efectos a la salud con discapacidad permanente o que resultan en efectos a la salud irreversibles (Cáncer aislado o terminal / enfermedad incapacitante). </t>
  </si>
  <si>
    <t>Puede suceder</t>
  </si>
  <si>
    <t>Sucede ocasionalmente 
(Entre 21% y 50%)</t>
  </si>
  <si>
    <t>Moderado Alto</t>
  </si>
  <si>
    <t xml:space="preserve">Lesión que incapacita a la persona para su actividad normal de vida, cuando hay pérdida anatómica o funcional total de un miembro u órgano, o de las funciones del mismo. 
(Se considera a partir de la pérdida del dedo meñique). 
Enfermedades avanzadas o con efectos a la salud severos y reversibles. </t>
  </si>
  <si>
    <t>Baja probabilidad</t>
  </si>
  <si>
    <t>Rara vez ocurre. No es probable que ocurra 
(Entre 11% y 20%)</t>
  </si>
  <si>
    <t>Moderado</t>
  </si>
  <si>
    <t xml:space="preserve">Lesiones que incapacitan a la persona temporalmente.  
Tratamiento médico o efectos reversibles a la salud con descanso médico. </t>
  </si>
  <si>
    <t>Escasa</t>
  </si>
  <si>
    <t xml:space="preserve">Muy rara vez ocurre.
(Menos del 10%) </t>
  </si>
  <si>
    <t>Moderado Leve</t>
  </si>
  <si>
    <t>Lesión que no incapacita a la persona, recibe atención de primeros auxilios o tratamiento médico.
Tratamiento médico o efectos reversibles a la salud sin discapacidad ni descanso médico.</t>
  </si>
  <si>
    <t xml:space="preserve">Mínima </t>
  </si>
  <si>
    <t xml:space="preserve">Lesión sin incapacidad. Molestias o incomodidades (disconfort).
Lesión menor o efecto a la salud menor reversible. </t>
  </si>
  <si>
    <t>DESCRIPCIÓN</t>
  </si>
  <si>
    <t>RIESGO CRÍTICO</t>
  </si>
  <si>
    <t xml:space="preserve">Riesgo No Aceptable, requiere controles inmediatos.  Si no se puede controlar el peligro se paralizan los trabajos. </t>
  </si>
  <si>
    <t>RIESGO ALTO</t>
  </si>
  <si>
    <t xml:space="preserve">Riesgo No Aceptable, se requiere implementación de controles para iniciar el trabajo.
 Si no se puede reducir el nivel de riesgo se paralizan los trabajos. </t>
  </si>
  <si>
    <t>RIESGO MEDIO</t>
  </si>
  <si>
    <t>Riesgo aceptable, se requiere verificar la  implementación de las medidas de control adicionales para iniciar los trabajos.</t>
  </si>
  <si>
    <t>RIESGO BAJO</t>
  </si>
  <si>
    <t xml:space="preserve">Este riesgo es aceptable, se puede trabajar con la implementación de los controles existentes. </t>
  </si>
  <si>
    <t>LISTA NO LIMITATIVA DE PELIGROS, RIESGOS Y CONSECUENCIAS</t>
  </si>
  <si>
    <t>N°</t>
  </si>
  <si>
    <t>CODIGO</t>
  </si>
  <si>
    <t>PELIGRO</t>
  </si>
  <si>
    <t>RIESGO ASOCIADO/EVENTO PELIGROSO</t>
  </si>
  <si>
    <t>CONSECUENCIAS</t>
  </si>
  <si>
    <t>MEC-001</t>
  </si>
  <si>
    <t>Manipulación de objetos y herramientas en altura</t>
  </si>
  <si>
    <t>Golpes, heridas politraumatismos, muerte</t>
  </si>
  <si>
    <t>MEC-002</t>
  </si>
  <si>
    <t>Elementos manipulados con grúas/montacargas/tecle eléctrico</t>
  </si>
  <si>
    <t>Contusión, Aplastamiento (Superficie Cutánea Intacta), Traumatismo, Muerte</t>
  </si>
  <si>
    <t>MEC-003</t>
  </si>
  <si>
    <t>MEC-004</t>
  </si>
  <si>
    <t>Maniobras de Izaje</t>
  </si>
  <si>
    <t>Golpes, lesiones, aplastamiento por caída de equipos</t>
  </si>
  <si>
    <t>MEC-005</t>
  </si>
  <si>
    <t>Pila de material inestable</t>
  </si>
  <si>
    <t>Derrumbe/Caída de equipo/caída a distinto nivel/Atrapamiento</t>
  </si>
  <si>
    <t>MEC-006</t>
  </si>
  <si>
    <t>MEC-007</t>
  </si>
  <si>
    <t>Vías/Pistas en Mal Estado</t>
  </si>
  <si>
    <t>MEC-008</t>
  </si>
  <si>
    <t>Personal de Piso interactuando con equipos móviles</t>
  </si>
  <si>
    <t>Atropello/Aplastamiento</t>
  </si>
  <si>
    <t>MEC-009</t>
  </si>
  <si>
    <t>Maquinas/Objetos en movimiento</t>
  </si>
  <si>
    <t>Atrapamiento/Contacto con maquinarias u objetos en movimiento</t>
  </si>
  <si>
    <t>Contusión, heridas politraumatismos, muerte</t>
  </si>
  <si>
    <t>MEC-010</t>
  </si>
  <si>
    <t xml:space="preserve">Manipulación de herramientas y objetos varios </t>
  </si>
  <si>
    <t>Contacto con herramientas y objetos varios</t>
  </si>
  <si>
    <t>MEC-011</t>
  </si>
  <si>
    <t xml:space="preserve"> Herramientas neumáticas</t>
  </si>
  <si>
    <t>Contacto con herramientas neumáticas en movimiento</t>
  </si>
  <si>
    <t>Heridas, cortes, golpes, fracturas, amputaciones de algún miembro</t>
  </si>
  <si>
    <t>MEC-012</t>
  </si>
  <si>
    <t>Herramientas para golpear (martillo, combas)</t>
  </si>
  <si>
    <t>Contacto con herramientas de golpe</t>
  </si>
  <si>
    <t>MEC-013</t>
  </si>
  <si>
    <t xml:space="preserve">Desprendimiento de fragmentos </t>
  </si>
  <si>
    <r>
      <rPr>
        <sz val="8"/>
        <color theme="1"/>
        <rFont val="Arial"/>
        <family val="2"/>
      </rPr>
      <t xml:space="preserve">Proyección de </t>
    </r>
    <r>
      <rPr>
        <i/>
        <sz val="8"/>
        <color theme="1"/>
        <rFont val="Arial"/>
        <family val="2"/>
      </rPr>
      <t>material/</t>
    </r>
    <r>
      <rPr>
        <sz val="8"/>
        <color theme="1"/>
        <rFont val="Arial"/>
        <family val="2"/>
      </rPr>
      <t>partículas</t>
    </r>
  </si>
  <si>
    <t>MEC-014</t>
  </si>
  <si>
    <t>Herramientas/Equipos en mal estado</t>
  </si>
  <si>
    <t>Atrapamiento/Contacto con herramientas en mal estado</t>
  </si>
  <si>
    <t>MEC-015</t>
  </si>
  <si>
    <t>Herramientas o maquinarias sin guarda</t>
  </si>
  <si>
    <t>Atrapamiento/Contacto con herramientas o maquinarias sin guarda</t>
  </si>
  <si>
    <t>MEC-016</t>
  </si>
  <si>
    <t>Herramientas eléctricas</t>
  </si>
  <si>
    <t>Atrapamiento/Contacto con herramientas eléctricas</t>
  </si>
  <si>
    <t>MEC-017</t>
  </si>
  <si>
    <t>Máquinas o equipos fijos con piezas cortantes</t>
  </si>
  <si>
    <t>Contacto con piezas cortantes</t>
  </si>
  <si>
    <t>Heridas punzo cortantes, desgarros, heridas contusas</t>
  </si>
  <si>
    <t>MEC-018</t>
  </si>
  <si>
    <t>Herramientas portátiles eléctricas punzo cortantes</t>
  </si>
  <si>
    <t>Contacto con herramientas portátiles eléctricas punzo cortantes</t>
  </si>
  <si>
    <t>MEC-019</t>
  </si>
  <si>
    <t>Herramientas manuales cortantes</t>
  </si>
  <si>
    <t>Contacto con herramientas cortantes</t>
  </si>
  <si>
    <t>Heridas punzo cortantes, heridas contusas</t>
  </si>
  <si>
    <t>MEC-020</t>
  </si>
  <si>
    <t>Objetos o superficies punzo cortantes</t>
  </si>
  <si>
    <t>Contacto con objetos o superficies punzo contantes</t>
  </si>
  <si>
    <t>MEC-021</t>
  </si>
  <si>
    <t>Trabajos en altura (encima de 1.80 m)</t>
  </si>
  <si>
    <t>Caídas a distinto nivel</t>
  </si>
  <si>
    <t>Fractura, Contusiones, Muerte</t>
  </si>
  <si>
    <t>MEC-022</t>
  </si>
  <si>
    <t>Superficies/Material a elevadas/bajas temperaturas</t>
  </si>
  <si>
    <t>Contacto con superficies/material a elevadas/bajas temperaturas</t>
  </si>
  <si>
    <t>Quemaduras</t>
  </si>
  <si>
    <t>MEC-023</t>
  </si>
  <si>
    <t>MEC-024</t>
  </si>
  <si>
    <t>Estructuras Inestables</t>
  </si>
  <si>
    <t>Caída de estructuras</t>
  </si>
  <si>
    <t>MEC-025</t>
  </si>
  <si>
    <t>Golpes, contusiones, traumatismo, muerte</t>
  </si>
  <si>
    <t>MEC-026</t>
  </si>
  <si>
    <t>OTROS MECÁNICO</t>
  </si>
  <si>
    <t>LOC-001</t>
  </si>
  <si>
    <t>Superficies de trabajo en mal estado</t>
  </si>
  <si>
    <t>Escoriaciones, abrasiones (Lesiones superficiales), Fracturas y Contusiones</t>
  </si>
  <si>
    <t>LOC-002</t>
  </si>
  <si>
    <t>Uso de escaleras portátiles</t>
  </si>
  <si>
    <t>Golpes, fracturas muerte</t>
  </si>
  <si>
    <t>LOC-003</t>
  </si>
  <si>
    <t>Uso de escaleras fijas</t>
  </si>
  <si>
    <t>LOC-004</t>
  </si>
  <si>
    <t>Elementos apilados inadecuadamente o mal asegurados</t>
  </si>
  <si>
    <t>Golpes, politraumatismo, contusiones</t>
  </si>
  <si>
    <t>LOC-005</t>
  </si>
  <si>
    <t>Falta de orden y limpieza</t>
  </si>
  <si>
    <t>LOC-006</t>
  </si>
  <si>
    <t>Uso de andamios y plataformas temporales</t>
  </si>
  <si>
    <t>LOC-007</t>
  </si>
  <si>
    <t>Falta de señalización</t>
  </si>
  <si>
    <t>Caídas al mismo nivel</t>
  </si>
  <si>
    <t>LOC-008</t>
  </si>
  <si>
    <t>Techos debilitados o defectuosos</t>
  </si>
  <si>
    <t>LOC-009</t>
  </si>
  <si>
    <t>Material Inflamable</t>
  </si>
  <si>
    <t>Incendio</t>
  </si>
  <si>
    <t>Quemaduras, Asfixia, Muerte</t>
  </si>
  <si>
    <t>LOC-010</t>
  </si>
  <si>
    <t>Material Inflamable; Fluidos a Presión, Equipo Presurizado</t>
  </si>
  <si>
    <t>Explosión</t>
  </si>
  <si>
    <t>Quemaduras, Traumatismos, Contusiones, Asfixia, Muerte</t>
  </si>
  <si>
    <t>LOC-011</t>
  </si>
  <si>
    <t>OTROS- LOCATIVO</t>
  </si>
  <si>
    <t>ELE-001</t>
  </si>
  <si>
    <t>ELÉCTRICO</t>
  </si>
  <si>
    <t>Líneas eléctricas/Puntos energizados en Baja Tensión.</t>
  </si>
  <si>
    <t>Descarga/Contacto con energía eléctrica en baja tensión</t>
  </si>
  <si>
    <t>Shock eléctrico, paro cardio-respiratorio, Quemaduras I, II, III, muerte.</t>
  </si>
  <si>
    <t>ELE-002</t>
  </si>
  <si>
    <t>Líneas eléctricas/Puntos energizados en Media Tensión.</t>
  </si>
  <si>
    <t>Descarga/Contacto con energía eléctrica en media tensión</t>
  </si>
  <si>
    <t>ELE-003</t>
  </si>
  <si>
    <t xml:space="preserve">Líneas eléctricas/Puntos energizados en Alta Tensión. </t>
  </si>
  <si>
    <t>Descarga/Contacto con energía eléctrica en alta tensión</t>
  </si>
  <si>
    <t>ELE-004</t>
  </si>
  <si>
    <t>Uso de herramientas eléctricas</t>
  </si>
  <si>
    <t>ELE-005</t>
  </si>
  <si>
    <t>Energía eléctrica estática acumulada</t>
  </si>
  <si>
    <t>Descarga/Contacto con energía eléctrica estática</t>
  </si>
  <si>
    <t>ELE-006</t>
  </si>
  <si>
    <t>Empalme de cables</t>
  </si>
  <si>
    <t>Descarga/Contacto con energía eléctrica</t>
  </si>
  <si>
    <t>ELE-007</t>
  </si>
  <si>
    <t>Fallas Eléctricas de equipos</t>
  </si>
  <si>
    <t>Contacto con energía eléctrica/Incendio</t>
  </si>
  <si>
    <t>ELE-008</t>
  </si>
  <si>
    <t>OTROS ELÉCTRICO</t>
  </si>
  <si>
    <t>FIS-001</t>
  </si>
  <si>
    <t>Ruido</t>
  </si>
  <si>
    <t>Exposición a Ruido</t>
  </si>
  <si>
    <t>Pérdida Auditiva Inducida por Ruido, 
Hipoacusia o sordera provocada por el ruido en el embrión, infertilidad, prematuridad</t>
  </si>
  <si>
    <t>FIS-002</t>
  </si>
  <si>
    <t>Vibraciones</t>
  </si>
  <si>
    <t>Exposición a vibraciones</t>
  </si>
  <si>
    <t>Afecciones de los músculos, de los tendones, de los huesos, de las articulaciones, de los vasos sanguíneos periféricos o de los nervios periféricos, Infertilidad, aborto espontáneo, parto prematuro</t>
  </si>
  <si>
    <t>FIS-003</t>
  </si>
  <si>
    <t>Radiaciones No Ionizantes</t>
  </si>
  <si>
    <t>Exposición a radiaciones no ionizantes</t>
  </si>
  <si>
    <t>Efecto de la Radiación, Problemas Neurológicos, Lesión de Retina, Enfermedades oftalmológicas a consecuencia de exposiciones a radiaciones ultravioletas.</t>
  </si>
  <si>
    <t>FIS-004</t>
  </si>
  <si>
    <t>Rayos Infrarojos, microondas, ultrasonidos</t>
  </si>
  <si>
    <t>Exposición a radiaciones infrarrojos, microondas y ultrasonidos</t>
  </si>
  <si>
    <t>Trabajos con exposición a radiaciones no ionizantes con longitud de onda entre los 100 y 400 nm</t>
  </si>
  <si>
    <t>FIS-005</t>
  </si>
  <si>
    <t>Frío</t>
  </si>
  <si>
    <t>Exposición prolongada a temperaturas extremas</t>
  </si>
  <si>
    <t>Quemaduras, gangrena de extremidad, hipotermia, gripes, molestias en la garganta, faringitis, Alteración en el desarrollo del embrión, feto.</t>
  </si>
  <si>
    <t>FIS-006</t>
  </si>
  <si>
    <t>Calor</t>
  </si>
  <si>
    <t xml:space="preserve">Quemaduras, insolación, deshidratación, fatiga, irritación de los ojos, Trastornos vasculares  en feto por vasoconstricción. </t>
  </si>
  <si>
    <t>FIS-007</t>
  </si>
  <si>
    <t>Corrientes de aire</t>
  </si>
  <si>
    <t>Exposición a corrientes de aire</t>
  </si>
  <si>
    <t>Molestias en la garganta, faringitis, afecciones respiratorias, somnolencia, dolor de cabeza, problemas cutáneos e irritación de los ojos.</t>
  </si>
  <si>
    <t>FIS-008</t>
  </si>
  <si>
    <t>Exposición a ventilación deficiente</t>
  </si>
  <si>
    <t>FIS-009</t>
  </si>
  <si>
    <t>Humedad</t>
  </si>
  <si>
    <t>Exposición Excesiva a Humedad</t>
  </si>
  <si>
    <t>Enfermedades Contagiosas o Infecciosas, Dermatosis, Resfriados, Alergias</t>
  </si>
  <si>
    <t>FIS-010</t>
  </si>
  <si>
    <t>Presión Atmosférica</t>
  </si>
  <si>
    <t>Exposición a Alta Presión Atmosférica</t>
  </si>
  <si>
    <t>Aumento de Presión Arterial.
Enfermedades provocadas por compresión o descompresión atmosférica.</t>
  </si>
  <si>
    <t>FIS-011</t>
  </si>
  <si>
    <t>Radiaciones Ionizantes</t>
  </si>
  <si>
    <t>Exposición a radiaciones ionizantes</t>
  </si>
  <si>
    <t>Quemaduras, Efectos de la Radiación, Lesiones de Retina, Infertilidad, aborto espontáneo, defectos de nacimiento, bajo peso al nacer, afecciones en el desarrollo, cánceres durante la niñez</t>
  </si>
  <si>
    <t>FIS-012</t>
  </si>
  <si>
    <t>Iluminación Inadecuada</t>
  </si>
  <si>
    <t>Exposición a condiciones de iluminación inadecuadas</t>
  </si>
  <si>
    <t>Disminución de la agudeza visual, asteopía, miopía, cefalea.</t>
  </si>
  <si>
    <t>FIS-013</t>
  </si>
  <si>
    <t>OTROS-FÍSICO</t>
  </si>
  <si>
    <t>QUI-001</t>
  </si>
  <si>
    <t>Sustancias Químicas, Vapores, Compuestos o productos químicos en general</t>
  </si>
  <si>
    <t>Contacto de la vista con sustancias o agentes dañinos.</t>
  </si>
  <si>
    <t>Irritación, Conjuntivitis Química, Quemadura</t>
  </si>
  <si>
    <t>QUI-002</t>
  </si>
  <si>
    <t>Contacto de la piel con sustancias o agentes dañinos. (Absorción cutánea)</t>
  </si>
  <si>
    <t>Dermatitis de contacto, Quemaduras, Envenenamiento</t>
  </si>
  <si>
    <t>QUI-003</t>
  </si>
  <si>
    <t>Inhalación de sustancias o agentes dañinos</t>
  </si>
  <si>
    <t>Asfixia, Intoxicación, Irritación, Neumoconiosis, problemas del aparato respiratorio, dolencias hepáticas, renales y neurológicas</t>
  </si>
  <si>
    <t>QUI-004</t>
  </si>
  <si>
    <t>Ingestión de sustancias o agentes dañinos</t>
  </si>
  <si>
    <t>Intoxicación, Neumonía Química, Dolencias hepáticas, renales y neurológicas</t>
  </si>
  <si>
    <t>QUI-005</t>
  </si>
  <si>
    <t>QUI-006</t>
  </si>
  <si>
    <t>BIO-001</t>
  </si>
  <si>
    <t>BIOLOGICO</t>
  </si>
  <si>
    <t>Agentes Biológicos (Virus, Bacterias, Hongos, parásitos)</t>
  </si>
  <si>
    <t>Exposición a agentes biológicos</t>
  </si>
  <si>
    <t>Enfermedades virales, infecciosas o parasitarias.</t>
  </si>
  <si>
    <t>BIO-002</t>
  </si>
  <si>
    <t xml:space="preserve">Animales / Insectos - Vectores </t>
  </si>
  <si>
    <t>Picadura de animales</t>
  </si>
  <si>
    <t>Lesiones de piel, Envenenamiento</t>
  </si>
  <si>
    <t>BIO-003</t>
  </si>
  <si>
    <t>Plantas</t>
  </si>
  <si>
    <t>Exposición cutánea e ingestión de sustancias dañinas</t>
  </si>
  <si>
    <t>Intoxicación, envenenamiento, lesiones en la piel, heridas</t>
  </si>
  <si>
    <t>ERG-001</t>
  </si>
  <si>
    <t>ERG-002</t>
  </si>
  <si>
    <t>Espacio Inadecuado de Trabajo</t>
  </si>
  <si>
    <t>Ergonómico por espacio inadecuado de trabajo</t>
  </si>
  <si>
    <t>ERG-003</t>
  </si>
  <si>
    <t>Ergonómico por sobreesfuerzo.</t>
  </si>
  <si>
    <t>ERG-004</t>
  </si>
  <si>
    <t>ERG-005</t>
  </si>
  <si>
    <t>Desplazamiento vertical manual de materiales</t>
  </si>
  <si>
    <t>Ergonómico por desplazamiento vertical de materiales</t>
  </si>
  <si>
    <t>Cervicalgía, Dorsalgia, Escoliosis, Fatiga</t>
  </si>
  <si>
    <t>ERG-006</t>
  </si>
  <si>
    <t>Esfuerzo muscular focalizado</t>
  </si>
  <si>
    <t>Ergonómico por esfuerzo muscular focalizado</t>
  </si>
  <si>
    <t>Cervicalgía, Dorsalgía, Escoliosis, Trastornos de huesos y articulaciones, trastornos vasculares, transtornos musculares (sistema nervioso).</t>
  </si>
  <si>
    <t>ERG-007</t>
  </si>
  <si>
    <t>Exposición a vibraciones de conjunto mano-brazo</t>
  </si>
  <si>
    <t>Ergonómico por vibraciones mano-brazo</t>
  </si>
  <si>
    <t>Transtornos de huesos y articulaciones, transtornos vasculares, transtornos musculares (sistema nervioso).</t>
  </si>
  <si>
    <t>ERG-008</t>
  </si>
  <si>
    <t>Trabajo de pie  (y/o andar) más de 4 horas continuas sin descanso</t>
  </si>
  <si>
    <t xml:space="preserve">Ergonómico por trabajo de pie </t>
  </si>
  <si>
    <t>Fatiga, DORT, Parto prematuro</t>
  </si>
  <si>
    <t>PSI-001</t>
  </si>
  <si>
    <t>PSICOSOCIAL</t>
  </si>
  <si>
    <t xml:space="preserve">Condiciones de trabajo: Tipo de trabajo, grado de autonomía, aislamiento, promoción, estilo de dirección, turnicidad, ritmos y jornadas de trabajo. </t>
  </si>
  <si>
    <t>Trastornos Biológicos y Sociales por Condiciones de Trabajo</t>
  </si>
  <si>
    <t xml:space="preserve">Ansiedad, Nerviosismo, Fatiga, Irritabilidad, Estrés, Burnout, Mayor frecuencia de partos prematuros, abortos espontáneos, etc. </t>
  </si>
  <si>
    <t>PSI-002</t>
  </si>
  <si>
    <t>Trabajo en Turno Nocturno, Monotonía y/o Repetitividad, Jornada de Trabajo Prolongada</t>
  </si>
  <si>
    <t>Trastornos Biológicos y Sociales por Jornada de Trabajo Prolongada</t>
  </si>
  <si>
    <t>Ansiedad, Nerviosismo, Estrés</t>
  </si>
  <si>
    <t>PSI-003</t>
  </si>
  <si>
    <t xml:space="preserve">Hostigamiento sexual y/o acoso laboral (Mobbing)  </t>
  </si>
  <si>
    <t xml:space="preserve">Transtornos biológicos y sociales </t>
  </si>
  <si>
    <t>Ansiedad, Nerviosismo, Estrés, Partos prematuros, abortos espontáneos</t>
  </si>
  <si>
    <t>OTR-001</t>
  </si>
  <si>
    <t>OTROS</t>
  </si>
  <si>
    <t>Sismos</t>
  </si>
  <si>
    <t>Caída al mismo o distinto nivel/colapso de estructuras</t>
  </si>
  <si>
    <t>OTR-002</t>
  </si>
  <si>
    <t>Manifestación Publica/Toma de Instalaciones</t>
  </si>
  <si>
    <t>Golpeado o agredido</t>
  </si>
  <si>
    <t>Contusiones, Lesiones, Muerte</t>
  </si>
  <si>
    <t>OTR-003</t>
  </si>
  <si>
    <t>Movilización/Desplazamiento de personal</t>
  </si>
  <si>
    <t>Accidente</t>
  </si>
  <si>
    <t>Traumatismo, Contusiones, Muerte</t>
  </si>
  <si>
    <t>CARGOS</t>
  </si>
  <si>
    <t>TE</t>
  </si>
  <si>
    <t>ADMINISTRADOR DE OBRA</t>
  </si>
  <si>
    <t xml:space="preserve">ADMINISTRADOR DE OBRA </t>
  </si>
  <si>
    <t>ADMINISTRADOR DE RED</t>
  </si>
  <si>
    <t>ADMINISTRADOR LABORAL DE SUBCONTRATISTAS</t>
  </si>
  <si>
    <t>ANALISTA CONTABLE</t>
  </si>
  <si>
    <t>ANALISTA DE COMPRAS</t>
  </si>
  <si>
    <t>ANALISTA DE IMPORTACIONES</t>
  </si>
  <si>
    <t>ANALISTA DE RECLUTAMIENTO Y SELECCIÓN</t>
  </si>
  <si>
    <t>ANALISTA DE TESORERIA</t>
  </si>
  <si>
    <t>ANALISTA LABORAL DE SUBCONTRATISTAS</t>
  </si>
  <si>
    <t>ARQUITECTO</t>
  </si>
  <si>
    <t>ASESOR LEGAL SENIOR</t>
  </si>
  <si>
    <t>ASESOR LEGAL SSOMA</t>
  </si>
  <si>
    <t>ASISTENTE ADMINISTRATIVO</t>
  </si>
  <si>
    <t>ASISTENTE DE CONTROL DOCUMENTARIO</t>
  </si>
  <si>
    <t>ASISTENTE DE HIGIENE INDUSTRIAL</t>
  </si>
  <si>
    <t>ASISTENTE DE INFORMES SEGUIMIENTO</t>
  </si>
  <si>
    <t>ASISTENTE DE OFICINA TÉCNICA</t>
  </si>
  <si>
    <t>ASISTENTE DE SEGUIMIENTO DE OBRA</t>
  </si>
  <si>
    <t>ASISTENTE DE SERVICIOS GENERALES</t>
  </si>
  <si>
    <t>AUXILIAR ADMINISTRATIVO</t>
  </si>
  <si>
    <t>AUXILIAR CONTABLE</t>
  </si>
  <si>
    <t>AUXILIAR DE ALMACÉN</t>
  </si>
  <si>
    <t>AUXILIAR DE COMPRAS</t>
  </si>
  <si>
    <t>AYUDANTE DE TOPOGRAFIA</t>
  </si>
  <si>
    <t>CAPATAZ</t>
  </si>
  <si>
    <t>CHOFER</t>
  </si>
  <si>
    <t>CONTADOR</t>
  </si>
  <si>
    <t>CONTROL DOCUMENTARIO</t>
  </si>
  <si>
    <t>COORDINADOR DE CALIDAD</t>
  </si>
  <si>
    <t>COORDINADOR DE COMISIONAMIENTO</t>
  </si>
  <si>
    <t>COORDINADOR DE CONTROL DE CALIDAD</t>
  </si>
  <si>
    <t>COORDINADOR DE GEOTECNIA</t>
  </si>
  <si>
    <t>COORDINADOR DE GESTIÓN DE SST</t>
  </si>
  <si>
    <t>COORDINADOR DE GESTIÓN DEL TALENTO</t>
  </si>
  <si>
    <t>COORDINADOR DE MEDIO AMBIENTE</t>
  </si>
  <si>
    <t>COORDINADOR DE NÓMINA Y ADMINISTRACIÓN DE PERSONAL</t>
  </si>
  <si>
    <t>COORDINADOR DE RAMS Y OBRA</t>
  </si>
  <si>
    <t>COORDINADOR LEGAL DE PERMISOS Y LICENCIAS</t>
  </si>
  <si>
    <t>DELINEANTE</t>
  </si>
  <si>
    <t>DIRECTOR ADMINISTRATIVO-FINANCIERO</t>
  </si>
  <si>
    <t>DIRECTOR DE CONSTRUCCION</t>
  </si>
  <si>
    <t>DIRECTOR DE PROYECTO</t>
  </si>
  <si>
    <t>DIRECTOR TÉCNICO</t>
  </si>
  <si>
    <t>ENCARGADA DE TESORERIA</t>
  </si>
  <si>
    <t>ENCARGADO GENERAL</t>
  </si>
  <si>
    <t>ENFERMERA TECNICA OCUPACIONAL</t>
  </si>
  <si>
    <t>ESPECIALISTA DE DISEÑO</t>
  </si>
  <si>
    <t>ESPECIALISTA DE SISTEMAS MECANICOS</t>
  </si>
  <si>
    <t>ESPECIALISTA EN PLANES DE DESVIOS Y TRANSITO</t>
  </si>
  <si>
    <t>ESPECIALISTA EN TBM</t>
  </si>
  <si>
    <t>GERENTE DE ADMINISTRACIÓN DE CONTRATOS</t>
  </si>
  <si>
    <t>GERENTE DE CALIDAD Y MEDIO AMBIENTE</t>
  </si>
  <si>
    <t>GERENTE DE COMPRAS Y LOGÍSTICA</t>
  </si>
  <si>
    <t>GERENTE DE CONTABILIDAD</t>
  </si>
  <si>
    <t>GERENTE DE INGENIERIA</t>
  </si>
  <si>
    <t>GERENTE DE PLANIFICACIÓN Y PRESUPUESTOS</t>
  </si>
  <si>
    <t>GERENTE DE RECURSOS HUMANOS</t>
  </si>
  <si>
    <t>GERENTE DE SEGURIDAD Y SALUD OCUPACIONAL</t>
  </si>
  <si>
    <t>GESTOR DE INCIDENCIAS Y RECLAMACIONES</t>
  </si>
  <si>
    <t>GESTOR DE ORDENES DE VARIACION Y RECLAMACIONES</t>
  </si>
  <si>
    <t>GESTOR DE SUBCONTRATOS</t>
  </si>
  <si>
    <t>HIGIENISTA</t>
  </si>
  <si>
    <t>INGENIERO AMBIENTAL JUNIOR</t>
  </si>
  <si>
    <t>INGENIERO ASISTENTE DE MEDIO AMBIENTE</t>
  </si>
  <si>
    <t>INGENIERO CIVIL ESTRUCTURAL</t>
  </si>
  <si>
    <t>INGENIERO CIVIL JUNIOR</t>
  </si>
  <si>
    <t>INGENIERO DE COMISIONAMIENTO</t>
  </si>
  <si>
    <t>INGENIERO DE CONTROL DE CALIDAD</t>
  </si>
  <si>
    <t>INGENIERO DE CONTROL DE COSTOS</t>
  </si>
  <si>
    <t>INGENIERO DE COSTOS</t>
  </si>
  <si>
    <t>INGENIERO DE GESTIÓN DE SST</t>
  </si>
  <si>
    <t>INGENIERO DE INSTALACIONES</t>
  </si>
  <si>
    <t>INGENIERO DE INSTALACIONES JUNIOR</t>
  </si>
  <si>
    <t>INGENIERO DE INSTALACIONES NO FERROVIARIAS</t>
  </si>
  <si>
    <t>INGENIERO DE INSTALACIONES NO FERROVIARIAS Y SCADA</t>
  </si>
  <si>
    <t>INGENIERO DE MEDIO AMBIENTE</t>
  </si>
  <si>
    <t>INGENIERO DE OFICINA TECNICA</t>
  </si>
  <si>
    <t>INGENIERO DE OFICINA TECNICA - DESPIECES</t>
  </si>
  <si>
    <t>INGENIERO DE PLANEAMIENTO</t>
  </si>
  <si>
    <t>INGENIERO DE PLANIFICACIÓN</t>
  </si>
  <si>
    <t>INGENIERO DE PRESUPUESTOS</t>
  </si>
  <si>
    <t>INGENIERO DE PRODUCCIÓN</t>
  </si>
  <si>
    <t>INGENIERO DE PROGRAMACIÓN</t>
  </si>
  <si>
    <t>INGENIERO DE VALORIZACIONES</t>
  </si>
  <si>
    <t>INGENIERO DE VIA Y TRAZADO</t>
  </si>
  <si>
    <t>INGENIERO ELECTRICO</t>
  </si>
  <si>
    <t>INGENIERO ESPECIALISTA DE ESTRUCTURAS</t>
  </si>
  <si>
    <t>INGENIERO JUNIOR DE PRODUCCION</t>
  </si>
  <si>
    <t>INGENIERO RESIDENTE</t>
  </si>
  <si>
    <t>INGENIERO TBM SUMINISTROS</t>
  </si>
  <si>
    <t>JEFE DE COMPRAS OBRA</t>
  </si>
  <si>
    <t>JEFE DE CUADRILLA</t>
  </si>
  <si>
    <t>JEFE DE DESVIOS</t>
  </si>
  <si>
    <t>JEFE DE INFORMACIÓN Y CONTROL DOCUMENTARIO</t>
  </si>
  <si>
    <t>JEFE DE INSTALACIONES</t>
  </si>
  <si>
    <t>JEFE DE MEDIO AMBIENTE</t>
  </si>
  <si>
    <t>JEFE DE OBRA</t>
  </si>
  <si>
    <t>JEFE DE OFICINA TÉCNICA</t>
  </si>
  <si>
    <t>JEFE DE PARQUE DE DOVELAS</t>
  </si>
  <si>
    <t>JEFE DE PLANIFICACIÓN</t>
  </si>
  <si>
    <t>JEFE DE PRODUCCIÓN</t>
  </si>
  <si>
    <t>JEFE DE PRODUCCIÓN TBM</t>
  </si>
  <si>
    <t>JEFE DE RELACIONES SINDICALES</t>
  </si>
  <si>
    <t xml:space="preserve">JEFE DE SEGURIDAD Y SALUD EN EL TRABAJO </t>
  </si>
  <si>
    <t>JEFE DE TI</t>
  </si>
  <si>
    <t>JEFE DE TOPOGRAFIA</t>
  </si>
  <si>
    <t>JEFE DE TUNEL</t>
  </si>
  <si>
    <t>MAESTRO DE OBRA</t>
  </si>
  <si>
    <t>MEDICO OCUPACIONAL</t>
  </si>
  <si>
    <t>METRADOR</t>
  </si>
  <si>
    <t>MONITOR DE ARQUEOLOGÍA 1</t>
  </si>
  <si>
    <t>OFICIAL</t>
  </si>
  <si>
    <t>OPERADOR DE MONTACARGA</t>
  </si>
  <si>
    <t>OPERARIO</t>
  </si>
  <si>
    <t>PEON</t>
  </si>
  <si>
    <t>PREVENCIONISTA</t>
  </si>
  <si>
    <t>PROCURADOR</t>
  </si>
  <si>
    <t>PROYECTISTA</t>
  </si>
  <si>
    <t>RECEPCIONISTA</t>
  </si>
  <si>
    <t>RESIDENTE DE ARQUITECTURA</t>
  </si>
  <si>
    <t>RESIDENTE DE OBRA</t>
  </si>
  <si>
    <t>RESPONSABLE DE ADMINISTRACION DE CONTRATOS DE INGENIERIA</t>
  </si>
  <si>
    <t>RESPONSABLE DE ALMACEN</t>
  </si>
  <si>
    <t>RESPONSABLE DE ARQUITECTURA</t>
  </si>
  <si>
    <t>RESPONSABLE DE CALIDAD</t>
  </si>
  <si>
    <t>RESPONSABLE DE CONTROL DE COSTOS</t>
  </si>
  <si>
    <t>RESPONSABLE DE CONTROL DOCUMENTARIO</t>
  </si>
  <si>
    <t>RESPONSABLE DE COSTOS</t>
  </si>
  <si>
    <t>RESPONSABLE DE INGRESO DE PERSONAL SUBCONTRATISTA</t>
  </si>
  <si>
    <t>RESPONSABLE DE INSTALACIONES Y RAMS</t>
  </si>
  <si>
    <t>RESPONSABLE DE MAQUINARIAS Y EQUIPOS</t>
  </si>
  <si>
    <t>RESPONSABLE DE OFICINA TECNICA</t>
  </si>
  <si>
    <t>RESPONSABLE DE OFICINA TÉCNICA DE INGENIERIA</t>
  </si>
  <si>
    <t>RESPONSABLE DE PLANIFICACIÓN TÉCNICA</t>
  </si>
  <si>
    <t>RESPONSABLE DE SUB CONTRATOS</t>
  </si>
  <si>
    <t>RESPONSABLE EN GEOTÉCNIA Y AUSCULTACIÓN</t>
  </si>
  <si>
    <t>RESPONSABLE TECNICO ECONOMICO</t>
  </si>
  <si>
    <t>RESPONSABLE VALIDACIÓN Y SEGUIMIENTO DE OBSERVACIONES EDIS</t>
  </si>
  <si>
    <t>SECRETARIA</t>
  </si>
  <si>
    <t>SENIOR DE SUBCONTRATOS</t>
  </si>
  <si>
    <t>SUPERVISOR DE GEOTECNIA</t>
  </si>
  <si>
    <t>SUPERVISOR DE SEGURIDAD Y SALUD EN EL TRABAJO</t>
  </si>
  <si>
    <t>SUPERVISOR DE SERVICIOS GENERALES</t>
  </si>
  <si>
    <t>SUPERVISOR DE TOPOGRAFÍA</t>
  </si>
  <si>
    <t>SUPERVISOR DE VIGIAS</t>
  </si>
  <si>
    <t>SUPERVISOR ESTUDIOS DE INGENIERIA TYPSA</t>
  </si>
  <si>
    <t>SUPERVISOR LEGAL</t>
  </si>
  <si>
    <t>SUPERVISOR TÉCNICO</t>
  </si>
  <si>
    <t>TECNICO DE CONTROL DE CALIDAD</t>
  </si>
  <si>
    <t>TECNICO DE SOPORTE</t>
  </si>
  <si>
    <t>TECNICO ESPECIALISTA EN ESTRUCTURAS</t>
  </si>
  <si>
    <t>TOPÓGRAFO</t>
  </si>
  <si>
    <t>TRABAJADORA SOCIAL</t>
  </si>
  <si>
    <t>VIGIA</t>
  </si>
  <si>
    <t>OPERADOR RETROEXCAVADORA</t>
  </si>
  <si>
    <t>OPERADOR EXCAVADORA</t>
  </si>
  <si>
    <t>ESPECIALISTA DE SUELOS</t>
  </si>
  <si>
    <t>SEGURIDAD Y SALUD EN EL TRABAJO Y MEDIO AMBIENTE</t>
  </si>
  <si>
    <t>Supervisor SSOMA</t>
  </si>
  <si>
    <t>CONFORMACIÓN DE BASE GRANULAR H=0.15M</t>
  </si>
  <si>
    <t>ENSAYO DE SALES SOLUBLES</t>
  </si>
  <si>
    <t>ENSAYO DE GRANULOMETRIA</t>
  </si>
  <si>
    <t>PARTIDAS ADICIONALES</t>
  </si>
  <si>
    <t xml:space="preserve">Vaceado de concreto premezclado F'C=175 kg/CM2 E=0.10m </t>
  </si>
  <si>
    <t>Resistencia a la compresión concreto</t>
  </si>
  <si>
    <t>Tendido y nivelación de afirmado en area de veredas, martillos y rampas</t>
  </si>
  <si>
    <t>Suministro de afirmado para veredas, martillos y rampas</t>
  </si>
  <si>
    <t>Compactación de base granular para veredas, martillos y rampas</t>
  </si>
  <si>
    <t>Encofrado de veredas, martillos y rampas</t>
  </si>
  <si>
    <t>Suministro de concreto premezclado F'C=175 kg/CM2 PARA VEREDAS,  MARTILLOS Y RAMPAS</t>
  </si>
  <si>
    <t>Acabado final de veredas, martillos y rampas</t>
  </si>
  <si>
    <t>Desencofrado de veredas, martillos y rampas</t>
  </si>
  <si>
    <t>OPERARIO
OFICIAL
PEON</t>
  </si>
  <si>
    <t>Madera/fenólico, clavos, alambre, desencofrante; Martillo, sierra, taladro, prensas</t>
  </si>
  <si>
    <t>Herramientas manuales y eléctricas</t>
  </si>
  <si>
    <t>Madera; Sierra, taladro</t>
  </si>
  <si>
    <t>Herramientas</t>
  </si>
  <si>
    <t>Trabajo repetitivo y posturas incómodas</t>
  </si>
  <si>
    <t>TME (trastornos musculoesqueléticos)</t>
  </si>
  <si>
    <t>OFICIAL
PEON</t>
  </si>
  <si>
    <t>Contusiones</t>
  </si>
  <si>
    <t>Ambiente polvoriento</t>
  </si>
  <si>
    <t>Generación de polvo y proyección de partículas</t>
  </si>
  <si>
    <t>Concreto 210, aditivos, agua; Bomba de concreto, vibrador</t>
  </si>
  <si>
    <t>Manguera de bomba y puntas de vibrador</t>
  </si>
  <si>
    <t>Concreto fresco/cemento; Utensilios, vibrador</t>
  </si>
  <si>
    <t>Alcalinidad del cemento fresco</t>
  </si>
  <si>
    <t>Dermatitis/quemaduras químicas</t>
  </si>
  <si>
    <t>Vibración localizada/prolongada</t>
  </si>
  <si>
    <t>Exposición a vibración</t>
  </si>
  <si>
    <t>Trastornos vasculares/neurológicos</t>
  </si>
  <si>
    <t>Paleteo/acomodo manual</t>
  </si>
  <si>
    <t>Fatiga</t>
  </si>
  <si>
    <t>SARDINELES</t>
  </si>
  <si>
    <t>Eliminar fallas</t>
  </si>
  <si>
    <t>Equipo nuevo</t>
  </si>
  <si>
    <t>Protección manguera</t>
  </si>
  <si>
    <t>Evitar contacto</t>
  </si>
  <si>
    <t>Aditivos menos agresivos</t>
  </si>
  <si>
    <t>Lavado inmediato</t>
  </si>
  <si>
    <t>Guantes, lentes, botas</t>
  </si>
  <si>
    <t>Reducir tiempo</t>
  </si>
  <si>
    <t>Aislamiento</t>
  </si>
  <si>
    <t>Rotación</t>
  </si>
  <si>
    <t>Apoyo</t>
  </si>
  <si>
    <t>CALIDAD</t>
  </si>
  <si>
    <t>Excavación</t>
  </si>
  <si>
    <t>ENCOFRADO Y DESENCOFRADO DE RAMPAS DE CAMELLONES</t>
  </si>
  <si>
    <t>EXCAVACIÓN DE ZANJA PARA CAMELLONES</t>
  </si>
  <si>
    <t>COLOCACIÓN DE CONCRETO f'c= 210 kg/cm2 E=0.20m CON CEMENTO HS</t>
  </si>
  <si>
    <t>CAMELLONES</t>
  </si>
  <si>
    <t>ADOQUINADO DE VIAS</t>
  </si>
  <si>
    <t>COLOCACIÓN DE CAMA DE ARENA E=0.05</t>
  </si>
  <si>
    <t>OPERARIO, OFICIAL, PEON</t>
  </si>
  <si>
    <t>Carga manual</t>
  </si>
  <si>
    <t>Dolor</t>
  </si>
  <si>
    <t>INSTALACIÓN DE ADOQUIN Y SELLADO</t>
  </si>
  <si>
    <t>Postura repetitiva</t>
  </si>
  <si>
    <t>Lesión</t>
  </si>
  <si>
    <t>Carretillas</t>
  </si>
  <si>
    <t>Área ordenada</t>
  </si>
  <si>
    <t>Evitar posturas</t>
  </si>
  <si>
    <t>Herramientas adecuadas</t>
  </si>
  <si>
    <t>Área nivelada</t>
  </si>
  <si>
    <t>Rodilleras</t>
  </si>
  <si>
    <t>LIMPIEZA FINAL DE OBRA</t>
  </si>
  <si>
    <t>ROTURA DE PROBETAS</t>
  </si>
  <si>
    <t>IMPLEMENTACION DE CAMPAMENTO DE OBRA</t>
  </si>
  <si>
    <t>Laboratorista externo</t>
  </si>
  <si>
    <t>CONFORMACIÓN DE SUBRASANTE PARA VEREDAS Y RAMPAS</t>
  </si>
  <si>
    <t>Operador de retroexcavadora
Operador de rodillo compactador
Operador de motoniveladora
Operario</t>
  </si>
  <si>
    <t>RETROEXCAVADORA
RODILLO COMPACTADOR
MOTONIVELADORA</t>
  </si>
  <si>
    <t>Operador de retroexcavadora
Operario</t>
  </si>
  <si>
    <t>o</t>
  </si>
  <si>
    <t>Operario 
Oficial
Peon</t>
  </si>
  <si>
    <t>RETROEXCAVADORA
PICO
LAMPA</t>
  </si>
  <si>
    <t>FORMAS METÁLICAS
FENÓLICOS
ESTACAS</t>
  </si>
  <si>
    <t>ACERO CORRUGADO
ALAMBRE
ALICATE
CLAVO</t>
  </si>
  <si>
    <t>PICO
LAMPA
RASTRILLO</t>
  </si>
  <si>
    <t>FENÓLICO
CLAVO
MARTILLO</t>
  </si>
  <si>
    <t xml:space="preserve">MIXER DE CONCRETO
CONCRETO PREMEZCLADO
VIBRADORA </t>
  </si>
  <si>
    <t>LETREROS
TACHOS
CACHACOS 
CINTA SEÑALIZADORA</t>
  </si>
  <si>
    <t>GRUPO ELECTROGENO
ESTRUCTURA DE CAMPAMENTO PREFABRICADO DE MADERA
ESCRITORIOS
SILLAS
BAÑOS PORTATILES
MESAS 
BANCAS</t>
  </si>
  <si>
    <t>Estructuras y herramientas</t>
  </si>
  <si>
    <t>Golpes por objetos</t>
  </si>
  <si>
    <t>Grupo electrógeno</t>
  </si>
  <si>
    <t>Contacto eléctrico</t>
  </si>
  <si>
    <t>Electrocución</t>
  </si>
  <si>
    <t>Manipulación de letreros</t>
  </si>
  <si>
    <t>Lesión muscular</t>
  </si>
  <si>
    <t>Reactivos</t>
  </si>
  <si>
    <t>Contacto con sustancias</t>
  </si>
  <si>
    <t>Irritación</t>
  </si>
  <si>
    <t>Tamices</t>
  </si>
  <si>
    <t>Proyección de partículas</t>
  </si>
  <si>
    <t>Lesión ocular</t>
  </si>
  <si>
    <t>REACTIVOS QUIMICOS</t>
  </si>
  <si>
    <t>AFIRMADO</t>
  </si>
  <si>
    <t>Retroexcavadora</t>
  </si>
  <si>
    <t>Atropello</t>
  </si>
  <si>
    <t>Trauma grave</t>
  </si>
  <si>
    <t>Rodillo</t>
  </si>
  <si>
    <t>Hipoacusia</t>
  </si>
  <si>
    <t>Prensa</t>
  </si>
  <si>
    <t>Proyección de fragmentos</t>
  </si>
  <si>
    <t>Golpes</t>
  </si>
  <si>
    <t>PROBETA
PRENSA</t>
  </si>
  <si>
    <t>Derrumbe</t>
  </si>
  <si>
    <t>Atrapamiento</t>
  </si>
  <si>
    <t>Formas</t>
  </si>
  <si>
    <t>Fracturas</t>
  </si>
  <si>
    <t>Acero corrugado</t>
  </si>
  <si>
    <t>Cortes</t>
  </si>
  <si>
    <t>Laceraciones</t>
  </si>
  <si>
    <t>Mixer</t>
  </si>
  <si>
    <t>Trauma</t>
  </si>
  <si>
    <t>Posturas forzadas</t>
  </si>
  <si>
    <t>Lumbalgia</t>
  </si>
  <si>
    <t>Pico/lampa</t>
  </si>
  <si>
    <t>Contusión</t>
  </si>
  <si>
    <t>Martillo/clavos</t>
  </si>
  <si>
    <t>Pinchazos</t>
  </si>
  <si>
    <t>Heridas</t>
  </si>
  <si>
    <t>Vibradora</t>
  </si>
  <si>
    <t>Lesiones</t>
  </si>
  <si>
    <t>Retirar objetos sueltos</t>
  </si>
  <si>
    <t>Ordenar zona y separar paso</t>
  </si>
  <si>
    <t>Charla y revisión diaria</t>
  </si>
  <si>
    <t>Eliminar cables dañados</t>
  </si>
  <si>
    <t>Usar extensiones seguras</t>
  </si>
  <si>
    <t>Cubrir conexiones</t>
  </si>
  <si>
    <t>Solo personal autorizado</t>
  </si>
  <si>
    <t>Guantes dieléctricos, botas</t>
  </si>
  <si>
    <t>Usar letreros livianos</t>
  </si>
  <si>
    <t>Carrito para traslado</t>
  </si>
  <si>
    <t>Trabajo entre dos personas</t>
  </si>
  <si>
    <t>Reactivos menos agresivos</t>
  </si>
  <si>
    <t>Área ventilada</t>
  </si>
  <si>
    <t>Capacitación simple</t>
  </si>
  <si>
    <t>Guantes y lentes</t>
  </si>
  <si>
    <t>Protector en ensayo</t>
  </si>
  <si>
    <t>Mantener distancia</t>
  </si>
  <si>
    <t>Lentes</t>
  </si>
  <si>
    <t>Delimitar área</t>
  </si>
  <si>
    <t>Vigía</t>
  </si>
  <si>
    <t>Chaleco</t>
  </si>
  <si>
    <t>Alejar equipo</t>
  </si>
  <si>
    <t>Limitar exposición</t>
  </si>
  <si>
    <t>Tapones</t>
  </si>
  <si>
    <t>Pantalla protectora</t>
  </si>
  <si>
    <t>Inspección</t>
  </si>
  <si>
    <t>Apuntalar zanja</t>
  </si>
  <si>
    <t>No ingresar sin autorización</t>
  </si>
  <si>
    <t>Casco, botas</t>
  </si>
  <si>
    <t>Apilar correctamente</t>
  </si>
  <si>
    <t>Orden</t>
  </si>
  <si>
    <t>Mesa de trabajo</t>
  </si>
  <si>
    <t>Zona cercada</t>
  </si>
  <si>
    <t>Mesa adecuada</t>
  </si>
  <si>
    <t>Faja si aplica</t>
  </si>
  <si>
    <t>Separar trabajadores</t>
  </si>
  <si>
    <t>Charlas</t>
  </si>
  <si>
    <t>Casco</t>
  </si>
  <si>
    <t>Retirar clavos expuestos</t>
  </si>
  <si>
    <t>Revisar equipo</t>
  </si>
  <si>
    <t>Operador entrenado</t>
  </si>
  <si>
    <t>SUPERVISOR SSOMA</t>
  </si>
  <si>
    <t>ARENA</t>
  </si>
  <si>
    <t>ADOQUINES, MARTILLO, RODILLERAS, OREJERAS</t>
  </si>
  <si>
    <t>VIBRADORA PARA CONCRETO</t>
  </si>
  <si>
    <t>HERRAMIENTAS DE ALISADO Y AFINADO</t>
  </si>
  <si>
    <t>Curado de concreto en veredas, martillos y rampas</t>
  </si>
  <si>
    <t>Av. Javier Prado Este 488 Of. 402 San Isidro – Lima</t>
  </si>
  <si>
    <t>OBRAS CIVILES Y VIALES DE PROYECTO LAS ROMPIENTES – PUNTA ROCAS</t>
  </si>
  <si>
    <t>Acarreo, cargado y retiro de estructuras metálicas de guardavía</t>
  </si>
  <si>
    <t>Acarreo interno y acopio de material de conchuela</t>
  </si>
  <si>
    <t>DESMONTAJE DE ELEMENTOS METÁLICOS (GUARDAVÍAS)</t>
  </si>
  <si>
    <t>MOVIMIENTO DE TIERRAS</t>
  </si>
  <si>
    <t>CORTE A NIVEL DE SUBRASANTE</t>
  </si>
  <si>
    <t>RELLENO A NIVEL DE SUBRASANTE</t>
  </si>
  <si>
    <t>PERFILADO Y COMPACTADO DE SUBRASANTE</t>
  </si>
  <si>
    <t>SARDINEL SUMERGIDO F´c= 175 kg/cm2 (15x30 cm)</t>
  </si>
  <si>
    <t>EXCAVACIÓN (maquinaria)</t>
  </si>
  <si>
    <t>ENCOFRADO DE SARDINEL (1 plancha de 30)</t>
  </si>
  <si>
    <t>Pintado de sardineles</t>
  </si>
  <si>
    <t>Acabado final de sardineles</t>
  </si>
  <si>
    <t>Curado de concreto en sardineles</t>
  </si>
  <si>
    <t>Desencofrado de sardineles</t>
  </si>
  <si>
    <t>IMPRIMACIÓN ASFÁLTICA RC-250</t>
  </si>
  <si>
    <t>ASFALTADO</t>
  </si>
  <si>
    <t>Colocación y Compactación de Carpeta Asfáltica en Caliente (e= 2").</t>
  </si>
  <si>
    <t>Operador de camión cisterna / Asfaltador / Peón vigía.</t>
  </si>
  <si>
    <t xml:space="preserve"> Asfalto líquido RC-250, camión cisterna imprimador, manguera de riego manual (flauta/lanza), EPP específico (respirador con filtro para vapores orgánicos, guantes de nitrilo/cuero, careta facial).</t>
  </si>
  <si>
    <t>Asfalto líquido / Solventes (RC-250)</t>
  </si>
  <si>
    <t>Inhalación de vapores / Contacto con piel</t>
  </si>
  <si>
    <t>Irritación de vías respiratorias, dermatitis, intoxicación</t>
  </si>
  <si>
    <t>Boquillas de acople rápido sin fugas en la lanza de riego.</t>
  </si>
  <si>
    <t>Respirador de media cara con cartuchos para vapores orgánicos (3M 6003 o similar)</t>
  </si>
  <si>
    <t xml:space="preserve"> Asfaltador, Peon</t>
  </si>
  <si>
    <t>Operador de Pavimentadora, Operador de Rodillo</t>
  </si>
  <si>
    <t>Mezcla asfáltica en caliente, pavimentadora sobre ruedas, rodillo vibratorio, rodillo neumático, volquetes</t>
  </si>
  <si>
    <t>Herramientas manuales (rastrillos, palas metalicas, pisones).</t>
  </si>
  <si>
    <t>Levantar, rastrillar y emparejar manualmente la mezcla</t>
  </si>
  <si>
    <t>Carga manual de material pesado / Levantamiento de herramientas con asfalto / Movimientos repetitivos</t>
  </si>
  <si>
    <t>Lumbalgia, dorsalgia, fatiga muscular, tenosinitis,</t>
  </si>
  <si>
    <t>Tránsito y maniobras de retroceso de maquinaria pesada en movimiento</t>
  </si>
  <si>
    <t>Atropello de obreros a pie por volquete o rodillo compactador</t>
  </si>
  <si>
    <t>Politraumatismo, aplastamiento, fracturas graves, incapacidad permanente o muerte.</t>
  </si>
  <si>
    <t>Sensores de retroceso y alarmas sonoras/luminosas</t>
  </si>
  <si>
    <t>Presencia permanente de Vigías/Banderilleros</t>
  </si>
  <si>
    <t>Chaleco de alta visibilidad fluorescente con cintas reflexivas</t>
  </si>
  <si>
    <t>Uso preferente de la mesa extendedora de la regla de la pavimentadora</t>
  </si>
  <si>
    <t>Rotación obligatoria del personal en el rastrillado cada 45 a 60 minutos, pausas activas</t>
  </si>
  <si>
    <t>Pintor de obra / Peón / Operario de acabados</t>
  </si>
  <si>
    <t>Pintura de tráfico (base solvente/acrílica), diluyente (thinner/solvente Xilol), brochas, rodillos, pistola de pintar</t>
  </si>
  <si>
    <t>Manipulación y dispersión de pintura de tráfico alto tráfico y diluyente</t>
  </si>
  <si>
    <t>Inhalación de vapores orgánicos y COVs</t>
  </si>
  <si>
    <t>Irritación ocular, conjuntivitis química, irritación de vías respiratorias superiores</t>
  </si>
  <si>
    <t>Utilizar pinturas con bajo contenido de solventes</t>
  </si>
  <si>
    <t>Realizar la mezcla de pintura únicamente en zonas ventiladas al aire libre</t>
  </si>
  <si>
    <t>Difusión de la hoja de seguridad (MSDS/FDS) de la pintura</t>
  </si>
  <si>
    <t>SEÑALIZACIONES</t>
  </si>
  <si>
    <t>Señalización Horizontal</t>
  </si>
  <si>
    <t>Señalización Vertical</t>
  </si>
  <si>
    <t>Pintor de obra / Peón / Operario de acabados.</t>
  </si>
  <si>
    <t>Pintura de tráfico, equipo: brochas, rodillos, conos reflectivos.</t>
  </si>
  <si>
    <t>ERGONOMICO</t>
  </si>
  <si>
    <t>Postura forzada prolongada e inclinación de tronco</t>
  </si>
  <si>
    <t>Pintado continuo al nivel del suelo en postura agachada/encluclillas</t>
  </si>
  <si>
    <t>Cervicalgia, lumbalgia intensa, fatiga muscular en piernas</t>
  </si>
  <si>
    <t>uso de rodillos/equipos con extensión para evitar posturas agachadas prolongadas.</t>
  </si>
  <si>
    <t>Respirador, lentes y chalecos</t>
  </si>
  <si>
    <t>Operario señalizador / Peón / Oficial.</t>
  </si>
  <si>
    <t>Paneles  de señalización, postes de fierro/concreto, dados de concreto, pala/pico,  pernos/abrazaderas, mezcla de concreto para anclaje.</t>
  </si>
  <si>
    <t>Manipulación de estructuras metálicas/bordes filosos, excavación manual de pozos para cimentación de postes</t>
  </si>
  <si>
    <t>Cortes o atrapamientos de manos con paneles/postes, proyección de partículas durante el picado/corte</t>
  </si>
  <si>
    <t>Heridas cortantes, contusiones en miembros superiores e inferiores</t>
  </si>
  <si>
    <t>Guarda de protección en la amoladora, uso de soportes o caballetes temporales</t>
  </si>
  <si>
    <t>PETS de Instalación de Señalización Vertical</t>
  </si>
  <si>
    <t>Guantes de cuero/carnaza anticorte, careta facial</t>
  </si>
  <si>
    <t>Peón / Operario</t>
  </si>
  <si>
    <t>Cincel, comba, barretilla, carretilla, martillo demoledor</t>
  </si>
  <si>
    <t>Desprendimiento y manipulación de adoquines rígidos</t>
  </si>
  <si>
    <t>Proyección de partículas de concreto / Golpe en manos o pies por caída de bloques</t>
  </si>
  <si>
    <t>Lesión ocular, contusiones, aplastamiento de dedos</t>
  </si>
  <si>
    <t>pantallas o mallas de protección contra proyección de esquirlas.</t>
  </si>
  <si>
    <t>Inspección de herramientas manuales (cinta del mes), delimitación del área.</t>
  </si>
  <si>
    <t>Lentes, gauntes y botas</t>
  </si>
  <si>
    <t>Operador de Cargador Frontal / Chofer de Volquete / Peón</t>
  </si>
  <si>
    <t>Operador de Rodillo Compactador / Operador de Motoniveladora / Peón</t>
  </si>
  <si>
    <t>Rodillo vibratorio, motoniveladora, camión cisterna de agua</t>
  </si>
  <si>
    <t>Sistema vibratorio continuo del rodillo compactado</t>
  </si>
  <si>
    <t>Exposición prolongada a vibración cuerpo entero, Exposicón a ruido</t>
  </si>
  <si>
    <t>Asientos con suspensión antivibratoria</t>
  </si>
  <si>
    <t>Rotación del operador cada 2 horas.</t>
  </si>
  <si>
    <t>Protección auditiva</t>
  </si>
  <si>
    <t>Chaleco reflectivo, casco de seguridad, calzado con punta de acero.</t>
  </si>
  <si>
    <t>Sensores de retroceso y trabas mecánicas</t>
  </si>
  <si>
    <t>Guiado obligatorio por vigía.</t>
  </si>
  <si>
    <t>Fracturas, contusiones graves, aprisionamiento</t>
  </si>
  <si>
    <t>Atrapamiento/aplastamiento entre volquete al bascular y equipos adyacentes</t>
  </si>
  <si>
    <t>Operación de maquinaria pesada realizando cortes en terreno</t>
  </si>
  <si>
    <t>Aplastamiento, politraumatismos graves, muerte</t>
  </si>
  <si>
    <t>Alarma de retroceso.</t>
  </si>
  <si>
    <t>Delimitación del radio de trabajo</t>
  </si>
  <si>
    <t>Peón / Operador de Volquete</t>
  </si>
  <si>
    <t>Carretillas, volquete, palas</t>
  </si>
  <si>
    <t>Empuje repetitivo de carretillas cargadas sobre terreno irregular</t>
  </si>
  <si>
    <t>Volcadura de carretilla / Sobreesfuerzo en desplazamiento</t>
  </si>
  <si>
    <t>Esguinces de muñeca/tobillo, lumbalgias, distensión muscular</t>
  </si>
  <si>
    <t>Habilitación de vías de tránsito peatonal niveladas para carretillas.</t>
  </si>
  <si>
    <t>No sobrepasar el límite de carga</t>
  </si>
  <si>
    <t>Guantes de cuero, zapato de seguridad</t>
  </si>
  <si>
    <t>Operador de Retroexcavadora / Peón</t>
  </si>
  <si>
    <t>Retroexcavadora/excavadora, picos, palas</t>
  </si>
  <si>
    <t>Ruptura y remoción del terreno con partículas finas en suspensión</t>
  </si>
  <si>
    <t>Neumoconiosis, afecciones respiratorias, conjuntivitis por polvo</t>
  </si>
  <si>
    <t>Humectación previa del terreno con cisterna de agua para mitigar el polvo.</t>
  </si>
  <si>
    <t>Monitoreo de polvo, PETS de Excavación.</t>
  </si>
  <si>
    <t>Respirador antipolvo, Lentes de seguridad</t>
  </si>
  <si>
    <t>Peón / Chofer de Camión</t>
  </si>
  <si>
    <t>Camión baranda / camión grúa, sogas/vientos, estrobos</t>
  </si>
  <si>
    <t>Traslado manual y levantamiento coordinado de rieles metálicos voluminosos</t>
  </si>
  <si>
    <t>Carga física excesiva / Malas posturas en el traslado</t>
  </si>
  <si>
    <t>Hernias discales, lumbalgia severa, sobreesfuerzo muscular</t>
  </si>
  <si>
    <t>Uso del camión grúa para el izaje directo al camión.</t>
  </si>
  <si>
    <t>Levantamiento en equipo, rotación de tareas.</t>
  </si>
  <si>
    <t>Guantes de cuero, calzado de seguridad con punta de acero, casco de seguridad.</t>
  </si>
  <si>
    <t>Operario / Oficial</t>
  </si>
  <si>
    <t>Llaves de impacto, amoladora, comba, barretas</t>
  </si>
  <si>
    <t>Manipulación de perfiles metálicos tensionados y bordes filosos de guardavías</t>
  </si>
  <si>
    <t>Cortes en manos/brazos o aprisionamiento por caída violenta de tramos de guardavía</t>
  </si>
  <si>
    <t>Heridas cortocontusas, laceraciones, fracturas en dedos</t>
  </si>
  <si>
    <t>Apuntalamiento/soporte temporal de los paneles antes de retirar los pernos.</t>
  </si>
  <si>
    <t>Guantes de carnaza/anticorte, casco de seguridad, lentes de protección.</t>
  </si>
  <si>
    <t>Trabajo en parejas.</t>
  </si>
  <si>
    <t>Cargador frontal, volquete, palas</t>
  </si>
  <si>
    <t>Limpieza y palanqueo manual complementario de material pesado</t>
  </si>
  <si>
    <t>Sobreesfuerzo por levantamiento manual y paleado de fragmentos de concreto</t>
  </si>
  <si>
    <t>Mecanización del cargado directo con cargador frontal hacia la tolva del volquete.</t>
  </si>
  <si>
    <t>Pausas activas, capacitación en manipulación manual de cargas</t>
  </si>
  <si>
    <t>Calzado de seguridad, guantes de cuero.</t>
  </si>
  <si>
    <t>GIBA</t>
  </si>
  <si>
    <t>ENCOFRADO DE GIBA</t>
  </si>
  <si>
    <t>COLOCACIÓN Y VACEADO DE CONCRETO PARA GIBA</t>
  </si>
  <si>
    <t>HABILITACIÓN DE ACERO PARA GIBA</t>
  </si>
  <si>
    <t>PERFILADO, FROTACHADO Y RAYADO DE SUPERFICIE DE GIBA</t>
  </si>
  <si>
    <t>HERRAMIENTAS MANUALES DE RAYADO</t>
  </si>
  <si>
    <t>PINTADO DE SEÑALIZACIÓN HORIZONTAL EN GIBA</t>
  </si>
  <si>
    <t>PERFILADO Y NIVELACIÓN DE SUPERFICIE PARA GIBA</t>
  </si>
  <si>
    <t>Peón / Operario.
Operario</t>
  </si>
  <si>
    <t>BARRETA, PICO, LAMPA, CARRETILLA</t>
  </si>
  <si>
    <t>Excavación superficial manual con pico/pala y operación continuada de compactador</t>
  </si>
  <si>
    <t>Sobreesfuerzo por movimientos repetitivos y posturas forzadas</t>
  </si>
  <si>
    <t>Fatiga muscular</t>
  </si>
  <si>
    <t>Humectación previa del terreno con agua</t>
  </si>
  <si>
    <t>Rotación obligatoria del operado</t>
  </si>
  <si>
    <t>Trabajo agachado perfilando la forma parabólica de la giba</t>
  </si>
  <si>
    <t>Demolición de Sardinel Existente</t>
  </si>
  <si>
    <t>Operario / Peón.</t>
  </si>
  <si>
    <t>Martillo demoledor neumático/eléctrico, comba, cincel, barretilla.</t>
  </si>
  <si>
    <t>Operación de martillo demoledor en estructura de concreto.</t>
  </si>
  <si>
    <t>Proyección de esquirlas de concreto</t>
  </si>
  <si>
    <t>Lesiones oculares, síndrome de vibración mano-brazo</t>
  </si>
  <si>
    <t>Pantallas de protección acrílica</t>
  </si>
  <si>
    <t>Rotación de personal en el uso del demoledor</t>
  </si>
  <si>
    <t>Careta facial transparente, Lente de protección, guantes anti vibración</t>
  </si>
  <si>
    <t>“PISTA AUXILIAR Y ZONA DE ESTACIONAMIENTO”</t>
  </si>
  <si>
    <t>RUT LOZANO</t>
  </si>
  <si>
    <t>LUIS JUNCO GUTIERREZ</t>
  </si>
  <si>
    <t>LUIS JUNCI GUTIERREZ</t>
  </si>
  <si>
    <r>
      <t xml:space="preserve">
</t>
    </r>
    <r>
      <rPr>
        <sz val="36"/>
        <color rgb="FF75787B"/>
        <rFont val="Arial"/>
        <family val="2"/>
      </rPr>
      <t>Atropello, volcadura, caída de 
material, atrapamiento</t>
    </r>
  </si>
  <si>
    <r>
      <t xml:space="preserve">
</t>
    </r>
    <r>
      <rPr>
        <sz val="36"/>
        <color rgb="FF75787B"/>
        <rFont val="Arial"/>
        <family val="2"/>
      </rPr>
      <t>Señalización 
y ruta interna.</t>
    </r>
  </si>
  <si>
    <t>CARGADOR FRONTAL
MOTONIVELADORA
RODILLO COMPACTADOR
RETROEXCAVADORA</t>
  </si>
  <si>
    <t>Caida de maquinaria de linea amarilla</t>
  </si>
  <si>
    <t>DESMONTAJE Y RETIRO DE ELEMENTOS DE CONCRETO EXISTENTE (ADOQUIN)</t>
  </si>
  <si>
    <t>Lumbalgia, dorsalgia, fatiga muscular</t>
  </si>
  <si>
    <t>Retiro de conchuelas</t>
  </si>
  <si>
    <t>Inhalación de material particulado (polvo de conchuela/arena) durante el retiro</t>
  </si>
  <si>
    <t>ACARREO INTERNO Y ACOPIO DE ESCOMBROS DE CONCRETO A ZONA DE ALMACEN DE CLIENTE</t>
  </si>
  <si>
    <t>Operador de Motoniveladora / Peón / Vigía</t>
  </si>
  <si>
    <t>Motoniveladora</t>
  </si>
  <si>
    <t xml:space="preserve"> Atropello de personal de campo durante la maniobra</t>
  </si>
  <si>
    <t>Chofer de Volquete / Peón</t>
  </si>
  <si>
    <t>Volquete
Material de préstamo</t>
  </si>
  <si>
    <r>
      <t>Descarga y extendido de material</t>
    </r>
    <r>
      <rPr>
        <sz val="36"/>
        <color rgb="FFFF0000"/>
        <rFont val="Arial"/>
        <family val="2"/>
      </rPr>
      <t xml:space="preserve"> </t>
    </r>
    <r>
      <rPr>
        <sz val="36"/>
        <rFont val="Arial"/>
        <family val="2"/>
      </rPr>
      <t>de prestamo</t>
    </r>
  </si>
  <si>
    <t>MOTONIVELADORA
AFIRMADO
YESO
TOPOGRAFO
AYUDANTE DE TOPOGRAFIA</t>
  </si>
  <si>
    <t>RODILLO COMPACTADOR
AFIRMADO
AGUA
YESO
AYUDANTE DE TOPOGRAFIA</t>
  </si>
  <si>
    <t>Topografo
Peon (ayudante de topografo)</t>
  </si>
  <si>
    <t>HERRAMIENTAS MANUALES
BOLSA DE YESO</t>
  </si>
  <si>
    <t>Manipulación y esparcido de yeso en polvo para demarcación de puntos.</t>
  </si>
  <si>
    <t>Inhalación de polvo de yeso / Contacto del polvo con ojos y piel.</t>
  </si>
  <si>
    <t>Irritación de las vías respiratorias, conjuntivitis química , dermatitis por contacto</t>
  </si>
  <si>
    <t>Uso de envases con dosificador o aplicadores de mango largo para verter el polvo cerca del suelo</t>
  </si>
  <si>
    <t>Capacitación en el manejo seguro de sustancias químicas y lectura de la Hoja de Datos de Seguridad</t>
  </si>
  <si>
    <t>Mascarilla, Lentes de seguridad, guantes</t>
  </si>
  <si>
    <t>Camión mixer en movimiento (maniobras de posicionamiento y retroceso)</t>
  </si>
  <si>
    <t>Atropello de personal de piso</t>
  </si>
  <si>
    <t xml:space="preserve">Politraumatismo, fracturas graves, fatalidad </t>
  </si>
  <si>
    <t>Alarma de retroceso</t>
  </si>
  <si>
    <t>Presencia de un Vigía</t>
  </si>
  <si>
    <t>FÍSICO/QUÍMICO</t>
  </si>
  <si>
    <t>ACEPATABILIDAD DEL RIESGO</t>
  </si>
  <si>
    <t>No se inician los trabajos hasta que el RIESGO esté totalmente controlado.</t>
  </si>
  <si>
    <t>Riesgo que requiere controles para inicio de trabajos. Si no se puede controlar el RIESGO se paraliza los trabajos operacionales en la labor.</t>
  </si>
  <si>
    <t>Evaluar las medidas de control e iniciar trabajos.</t>
  </si>
  <si>
    <t>Este riesgo es tolerable, se puede trabajar.</t>
  </si>
  <si>
    <t>&lt;=5</t>
  </si>
  <si>
    <t>ACEPTABLE</t>
  </si>
  <si>
    <t>&lt;=20</t>
  </si>
  <si>
    <t>ACEPTABLE CON CONTROL</t>
  </si>
  <si>
    <t xml:space="preserve">&lt;=50 </t>
  </si>
  <si>
    <t>NO ACEPTABLE</t>
  </si>
  <si>
    <t>&lt;=100</t>
  </si>
  <si>
    <t>INACEPTABLE DETENER ACTIVIDAD</t>
  </si>
  <si>
    <t>INACEPTABLE DETENER INMEDIATAMENTE</t>
  </si>
  <si>
    <t>INACEPTABLE DETENER ACTIVIDAD, INACEPTABLE DETENER INMEDIATAMENTE</t>
  </si>
  <si>
    <t>INACEPTABLE DETENER ACTIVIDAD, INACEPTABLE DETENER INMEDIATAMENTE (&lt;=100)</t>
  </si>
  <si>
    <t>NO ACEPTABLE (&lt;=50)</t>
  </si>
  <si>
    <t>ACEPTABLE CON CONTROL (&lt;=20)</t>
  </si>
  <si>
    <t>ACEPTABLE (&lt;=5)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</si>
</sst>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60" x14ac:knownFonts="1">
    <font>
      <sz val="10"/>
      <color rgb="FF000000"/>
      <name val="Arial"/>
      <scheme val="minor"/>
    </font>
    <font>
      <sz val="10"/>
      <name val="Arial"/>
      <family val="2"/>
    </font>
    <font>
      <sz val="24"/>
      <color theme="1"/>
      <name val="Arial"/>
      <family val="2"/>
    </font>
    <font>
      <sz val="24"/>
      <color rgb="FF000000"/>
      <name val="Arial"/>
      <family val="2"/>
    </font>
    <font>
      <b/>
      <sz val="24"/>
      <color theme="0"/>
      <name val="Arial"/>
      <family val="2"/>
    </font>
    <font>
      <b/>
      <sz val="24"/>
      <color rgb="FF75787B"/>
      <name val="Arial"/>
      <family val="2"/>
    </font>
    <font>
      <sz val="24"/>
      <color rgb="FF333399"/>
      <name val="Arial"/>
      <family val="2"/>
    </font>
    <font>
      <sz val="24"/>
      <color theme="1"/>
      <name val="Arial"/>
      <family val="2"/>
      <scheme val="minor"/>
    </font>
    <font>
      <b/>
      <sz val="24"/>
      <color rgb="FFFFFFFF"/>
      <name val="Arial"/>
      <family val="2"/>
    </font>
    <font>
      <b/>
      <sz val="24"/>
      <color theme="1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36"/>
      <color theme="0"/>
      <name val="Arial"/>
      <family val="2"/>
    </font>
    <font>
      <b/>
      <sz val="10"/>
      <color rgb="FF75787B"/>
      <name val="Arial"/>
      <family val="2"/>
    </font>
    <font>
      <sz val="44"/>
      <color rgb="FF75787B"/>
      <name val="Arial"/>
      <family val="2"/>
    </font>
    <font>
      <sz val="18"/>
      <color theme="1"/>
      <name val="Arial"/>
      <family val="2"/>
    </font>
    <font>
      <b/>
      <sz val="12"/>
      <color theme="0"/>
      <name val="Arial"/>
      <family val="2"/>
    </font>
    <font>
      <sz val="10"/>
      <color theme="1"/>
      <name val="Tahoma"/>
      <family val="2"/>
    </font>
    <font>
      <sz val="10"/>
      <color rgb="FF75787B"/>
      <name val="Tahoma"/>
      <family val="2"/>
    </font>
    <font>
      <sz val="9"/>
      <color rgb="FF75787B"/>
      <name val="Tahoma"/>
      <family val="2"/>
    </font>
    <font>
      <sz val="36"/>
      <color rgb="FF75787B"/>
      <name val="Tahoma"/>
      <family val="2"/>
    </font>
    <font>
      <b/>
      <sz val="36"/>
      <color rgb="FF75787B"/>
      <name val="Tahoma"/>
      <family val="2"/>
    </font>
    <font>
      <sz val="36"/>
      <color rgb="FF000000"/>
      <name val="Arial"/>
      <family val="2"/>
    </font>
    <font>
      <sz val="36"/>
      <color theme="1"/>
      <name val="Tahoma"/>
      <family val="2"/>
    </font>
    <font>
      <sz val="36"/>
      <color theme="1"/>
      <name val="Arial"/>
      <family val="2"/>
      <scheme val="minor"/>
    </font>
    <font>
      <sz val="8"/>
      <color theme="1"/>
      <name val="Tahoma"/>
      <family val="2"/>
    </font>
    <font>
      <u/>
      <sz val="10"/>
      <color rgb="FF000000"/>
      <name val="Arial"/>
      <family val="2"/>
    </font>
    <font>
      <sz val="8"/>
      <color rgb="FF000000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b/>
      <sz val="9"/>
      <color theme="0"/>
      <name val="Arial"/>
      <family val="2"/>
    </font>
    <font>
      <sz val="9"/>
      <color theme="1"/>
      <name val="Arial"/>
      <family val="2"/>
    </font>
    <font>
      <b/>
      <sz val="10"/>
      <color rgb="FF3E2A2F"/>
      <name val="Arial"/>
      <family val="2"/>
    </font>
    <font>
      <b/>
      <sz val="11"/>
      <color theme="0"/>
      <name val="Arial"/>
      <family val="2"/>
    </font>
    <font>
      <b/>
      <sz val="8"/>
      <color theme="0"/>
      <name val="Arial"/>
      <family val="2"/>
    </font>
    <font>
      <b/>
      <sz val="8"/>
      <color theme="1"/>
      <name val="Arial"/>
      <family val="2"/>
    </font>
    <font>
      <sz val="8"/>
      <color rgb="FF3E2A2F"/>
      <name val="Arial"/>
      <family val="2"/>
    </font>
    <font>
      <sz val="8"/>
      <color theme="0"/>
      <name val="Arial"/>
      <family val="2"/>
    </font>
    <font>
      <sz val="8"/>
      <color rgb="FF75787B"/>
      <name val="Arial"/>
      <family val="2"/>
    </font>
    <font>
      <sz val="18"/>
      <color theme="1"/>
      <name val="Arial"/>
      <family val="2"/>
      <scheme val="minor"/>
    </font>
    <font>
      <b/>
      <sz val="18"/>
      <color theme="0"/>
      <name val="Arial"/>
      <family val="2"/>
    </font>
    <font>
      <b/>
      <sz val="18"/>
      <color theme="1"/>
      <name val="Arial"/>
      <family val="2"/>
    </font>
    <font>
      <sz val="18"/>
      <color rgb="FF75787B"/>
      <name val="Arial"/>
      <family val="2"/>
    </font>
    <font>
      <i/>
      <sz val="8"/>
      <color theme="1"/>
      <name val="Arial"/>
      <family val="2"/>
    </font>
    <font>
      <b/>
      <sz val="36"/>
      <color rgb="FF75787B"/>
      <name val="Tahoma"/>
      <family val="2"/>
    </font>
    <font>
      <sz val="36"/>
      <color rgb="FF75787B"/>
      <name val="Arial"/>
      <family val="2"/>
    </font>
    <font>
      <sz val="36"/>
      <name val="Arial"/>
      <family val="2"/>
    </font>
    <font>
      <sz val="36"/>
      <color theme="1"/>
      <name val="Arial"/>
      <family val="2"/>
    </font>
    <font>
      <sz val="36"/>
      <color theme="1"/>
      <name val="Arial"/>
      <family val="2"/>
      <scheme val="minor"/>
    </font>
    <font>
      <sz val="36"/>
      <color rgb="FF000000"/>
      <name val="Arial"/>
      <family val="2"/>
    </font>
    <font>
      <sz val="36"/>
      <color rgb="FF000000"/>
      <name val="Arial"/>
      <family val="2"/>
      <scheme val="minor"/>
    </font>
    <font>
      <b/>
      <sz val="36"/>
      <color rgb="FF3E2A2F"/>
      <name val="Arial"/>
      <family val="2"/>
    </font>
    <font>
      <b/>
      <sz val="36"/>
      <color rgb="FF333399"/>
      <name val="Tahoma"/>
      <family val="2"/>
    </font>
    <font>
      <b/>
      <sz val="36"/>
      <color theme="0"/>
      <name val="Arial"/>
      <family val="2"/>
    </font>
    <font>
      <b/>
      <sz val="36"/>
      <color rgb="FF75787B"/>
      <name val="Arial"/>
      <family val="2"/>
    </font>
    <font>
      <sz val="36"/>
      <color rgb="FFFF0000"/>
      <name val="Arial"/>
      <family val="2"/>
    </font>
    <font>
      <sz val="10"/>
      <color rgb="FF000000"/>
      <name val="Arial"/>
      <family val="2"/>
      <scheme val="minor"/>
    </font>
    <font>
      <b/>
      <sz val="10"/>
      <name val="Arial"/>
      <family val="2"/>
    </font>
    <font>
      <sz val="10"/>
      <color theme="0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D0D0CE"/>
        <bgColor rgb="FFD0D0CE"/>
      </patternFill>
    </fill>
    <fill>
      <patternFill patternType="solid">
        <fgColor theme="0"/>
        <bgColor theme="0"/>
      </patternFill>
    </fill>
    <fill>
      <patternFill patternType="solid">
        <fgColor rgb="FF75787B"/>
        <bgColor rgb="FF75787B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rgb="FF3E2A2F"/>
        <bgColor rgb="FF3E2A2F"/>
      </patternFill>
    </fill>
    <fill>
      <patternFill patternType="solid">
        <fgColor rgb="FFE41F2B"/>
        <bgColor rgb="FFE41F2B"/>
      </patternFill>
    </fill>
    <fill>
      <patternFill patternType="solid">
        <fgColor rgb="FF2F5496"/>
        <bgColor rgb="FF2F5496"/>
      </patternFill>
    </fill>
    <fill>
      <patternFill patternType="solid">
        <fgColor rgb="FFF2F2F2"/>
        <bgColor rgb="FFF2F2F2"/>
      </patternFill>
    </fill>
    <fill>
      <patternFill patternType="solid">
        <fgColor rgb="FF1F3864"/>
        <bgColor rgb="FF1F3864"/>
      </patternFill>
    </fill>
    <fill>
      <patternFill patternType="solid">
        <fgColor rgb="FF1E4E79"/>
        <bgColor rgb="FF1E4E79"/>
      </patternFill>
    </fill>
    <fill>
      <patternFill patternType="solid">
        <fgColor rgb="FFC0C0C0"/>
        <bgColor rgb="FFC0C0C0"/>
      </patternFill>
    </fill>
    <fill>
      <patternFill patternType="solid">
        <fgColor rgb="FFFF6600"/>
        <bgColor rgb="FFFF66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575A5C"/>
        <bgColor rgb="FF575A5C"/>
      </patternFill>
    </fill>
    <fill>
      <patternFill patternType="solid">
        <fgColor rgb="FFBFBFBF"/>
        <bgColor rgb="FFBFBFBF"/>
      </patternFill>
    </fill>
    <fill>
      <patternFill patternType="solid">
        <fgColor rgb="FFDEEAF6"/>
        <bgColor rgb="FFDEEAF6"/>
      </patternFill>
    </fill>
    <fill>
      <patternFill patternType="solid">
        <fgColor rgb="FFBDD6EE"/>
        <bgColor rgb="FFBDD6EE"/>
      </patternFill>
    </fill>
    <fill>
      <patternFill patternType="solid">
        <fgColor rgb="FF9CC2E5"/>
        <bgColor rgb="FF9CC2E5"/>
      </patternFill>
    </fill>
    <fill>
      <patternFill patternType="solid">
        <fgColor rgb="FF2E75B5"/>
        <bgColor rgb="FF2E75B5"/>
      </patternFill>
    </fill>
    <fill>
      <patternFill patternType="solid">
        <fgColor rgb="FF7B7B7B"/>
        <bgColor rgb="FF7B7B7B"/>
      </patternFill>
    </fill>
    <fill>
      <patternFill patternType="solid">
        <fgColor rgb="FF343432"/>
        <bgColor rgb="FF343432"/>
      </patternFill>
    </fill>
    <fill>
      <patternFill patternType="solid">
        <fgColor rgb="FF00B800"/>
        <bgColor rgb="FF00B8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9900"/>
      </patternFill>
    </fill>
    <fill>
      <patternFill patternType="solid">
        <fgColor theme="0"/>
        <bgColor rgb="FFFFFFFF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rgb="FFFF6600"/>
      </patternFill>
    </fill>
    <fill>
      <patternFill patternType="solid">
        <fgColor theme="0"/>
        <bgColor rgb="FF1F38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rgb="FFFFFF00"/>
      </patternFill>
    </fill>
    <fill>
      <patternFill patternType="solid">
        <fgColor rgb="FF00B0F0"/>
        <bgColor indexed="64"/>
      </patternFill>
    </fill>
  </fills>
  <borders count="86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ck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ck">
        <color rgb="FF000000"/>
      </right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thin">
        <color theme="1"/>
      </left>
      <right/>
      <top/>
      <bottom/>
      <diagonal/>
    </border>
    <border>
      <left/>
      <right/>
      <top/>
      <bottom/>
      <diagonal/>
    </border>
    <border>
      <left/>
      <right style="thin">
        <color theme="1"/>
      </right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theme="1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theme="1"/>
      </left>
      <right/>
      <top/>
      <bottom/>
      <diagonal/>
    </border>
    <border>
      <left/>
      <right/>
      <top/>
      <bottom/>
      <diagonal/>
    </border>
    <border>
      <left/>
      <right style="thin">
        <color theme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rgb="FF000000"/>
      </right>
      <top style="thick">
        <color rgb="FF000000"/>
      </top>
      <bottom/>
      <diagonal/>
    </border>
    <border>
      <left style="thick">
        <color indexed="64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indexed="64"/>
      </right>
      <top style="thick">
        <color rgb="FF000000"/>
      </top>
      <bottom/>
      <diagonal/>
    </border>
    <border>
      <left style="thick">
        <color rgb="FF000000"/>
      </left>
      <right style="thick">
        <color indexed="64"/>
      </right>
      <top/>
      <bottom style="thick">
        <color rgb="FF000000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rgb="FF000000"/>
      </bottom>
      <diagonal/>
    </border>
  </borders>
  <cellStyleXfs count="1">
    <xf numFmtId="0" fontId="0" fillId="0" borderId="0"/>
  </cellStyleXfs>
  <cellXfs count="313">
    <xf numFmtId="0" fontId="0" fillId="0" borderId="0" xfId="0"/>
    <xf numFmtId="0" fontId="3" fillId="0" borderId="0" xfId="0" applyFont="1"/>
    <xf numFmtId="0" fontId="6" fillId="3" borderId="20" xfId="0" applyFont="1" applyFill="1" applyBorder="1"/>
    <xf numFmtId="0" fontId="6" fillId="3" borderId="21" xfId="0" applyFont="1" applyFill="1" applyBorder="1" applyAlignment="1">
      <alignment horizontal="center" vertical="center" wrapText="1"/>
    </xf>
    <xf numFmtId="0" fontId="6" fillId="3" borderId="21" xfId="0" applyFont="1" applyFill="1" applyBorder="1" applyAlignment="1">
      <alignment horizontal="center" vertical="center"/>
    </xf>
    <xf numFmtId="0" fontId="6" fillId="3" borderId="21" xfId="0" applyFont="1" applyFill="1" applyBorder="1"/>
    <xf numFmtId="0" fontId="6" fillId="3" borderId="21" xfId="0" applyFont="1" applyFill="1" applyBorder="1" applyAlignment="1">
      <alignment wrapText="1"/>
    </xf>
    <xf numFmtId="0" fontId="6" fillId="3" borderId="21" xfId="0" applyFont="1" applyFill="1" applyBorder="1" applyAlignment="1">
      <alignment horizontal="center"/>
    </xf>
    <xf numFmtId="0" fontId="6" fillId="3" borderId="22" xfId="0" applyFont="1" applyFill="1" applyBorder="1" applyAlignment="1">
      <alignment horizontal="center"/>
    </xf>
    <xf numFmtId="0" fontId="7" fillId="0" borderId="0" xfId="0" applyFont="1"/>
    <xf numFmtId="0" fontId="10" fillId="0" borderId="0" xfId="0" applyFont="1" applyAlignment="1">
      <alignment horizontal="center"/>
    </xf>
    <xf numFmtId="0" fontId="11" fillId="3" borderId="20" xfId="0" applyFont="1" applyFill="1" applyBorder="1" applyAlignment="1">
      <alignment wrapText="1"/>
    </xf>
    <xf numFmtId="0" fontId="12" fillId="3" borderId="21" xfId="0" applyFont="1" applyFill="1" applyBorder="1" applyAlignment="1">
      <alignment horizontal="center" vertical="center" wrapText="1"/>
    </xf>
    <xf numFmtId="0" fontId="11" fillId="3" borderId="21" xfId="0" applyFont="1" applyFill="1" applyBorder="1" applyAlignment="1">
      <alignment horizontal="center" vertical="center" wrapText="1"/>
    </xf>
    <xf numFmtId="0" fontId="11" fillId="3" borderId="21" xfId="0" applyFont="1" applyFill="1" applyBorder="1" applyAlignment="1">
      <alignment wrapText="1"/>
    </xf>
    <xf numFmtId="0" fontId="11" fillId="3" borderId="21" xfId="0" applyFont="1" applyFill="1" applyBorder="1" applyAlignment="1">
      <alignment horizontal="center"/>
    </xf>
    <xf numFmtId="0" fontId="11" fillId="3" borderId="22" xfId="0" applyFont="1" applyFill="1" applyBorder="1" applyAlignment="1">
      <alignment horizontal="center"/>
    </xf>
    <xf numFmtId="0" fontId="11" fillId="0" borderId="0" xfId="0" applyFont="1"/>
    <xf numFmtId="0" fontId="12" fillId="3" borderId="21" xfId="0" applyFont="1" applyFill="1" applyBorder="1"/>
    <xf numFmtId="0" fontId="14" fillId="3" borderId="21" xfId="0" applyFont="1" applyFill="1" applyBorder="1" applyAlignment="1">
      <alignment vertical="top"/>
    </xf>
    <xf numFmtId="0" fontId="11" fillId="3" borderId="21" xfId="0" applyFont="1" applyFill="1" applyBorder="1"/>
    <xf numFmtId="0" fontId="12" fillId="3" borderId="22" xfId="0" applyFont="1" applyFill="1" applyBorder="1"/>
    <xf numFmtId="0" fontId="16" fillId="0" borderId="0" xfId="0" applyFont="1"/>
    <xf numFmtId="0" fontId="12" fillId="3" borderId="20" xfId="0" applyFont="1" applyFill="1" applyBorder="1"/>
    <xf numFmtId="2" fontId="12" fillId="3" borderId="20" xfId="0" applyNumberFormat="1" applyFont="1" applyFill="1" applyBorder="1" applyAlignment="1">
      <alignment horizontal="center" vertical="center"/>
    </xf>
    <xf numFmtId="0" fontId="12" fillId="3" borderId="21" xfId="0" applyFont="1" applyFill="1" applyBorder="1" applyAlignment="1">
      <alignment wrapText="1"/>
    </xf>
    <xf numFmtId="49" fontId="12" fillId="3" borderId="21" xfId="0" applyNumberFormat="1" applyFont="1" applyFill="1" applyBorder="1"/>
    <xf numFmtId="0" fontId="17" fillId="13" borderId="21" xfId="0" applyFont="1" applyFill="1" applyBorder="1" applyAlignment="1">
      <alignment horizontal="center" vertical="center"/>
    </xf>
    <xf numFmtId="0" fontId="18" fillId="3" borderId="21" xfId="0" applyFont="1" applyFill="1" applyBorder="1" applyAlignment="1">
      <alignment wrapText="1"/>
    </xf>
    <xf numFmtId="0" fontId="18" fillId="3" borderId="21" xfId="0" applyFont="1" applyFill="1" applyBorder="1" applyAlignment="1">
      <alignment horizontal="center" wrapText="1"/>
    </xf>
    <xf numFmtId="0" fontId="18" fillId="3" borderId="21" xfId="0" applyFont="1" applyFill="1" applyBorder="1" applyAlignment="1">
      <alignment horizontal="center" vertical="center" wrapText="1"/>
    </xf>
    <xf numFmtId="0" fontId="18" fillId="3" borderId="21" xfId="0" applyFont="1" applyFill="1" applyBorder="1" applyAlignment="1">
      <alignment horizontal="center"/>
    </xf>
    <xf numFmtId="0" fontId="19" fillId="6" borderId="21" xfId="0" applyFont="1" applyFill="1" applyBorder="1" applyAlignment="1">
      <alignment horizontal="center"/>
    </xf>
    <xf numFmtId="0" fontId="19" fillId="6" borderId="21" xfId="0" applyFont="1" applyFill="1" applyBorder="1"/>
    <xf numFmtId="0" fontId="20" fillId="6" borderId="21" xfId="0" applyFont="1" applyFill="1" applyBorder="1" applyAlignment="1">
      <alignment horizontal="center"/>
    </xf>
    <xf numFmtId="0" fontId="20" fillId="6" borderId="21" xfId="0" applyFont="1" applyFill="1" applyBorder="1"/>
    <xf numFmtId="0" fontId="21" fillId="6" borderId="21" xfId="0" applyFont="1" applyFill="1" applyBorder="1" applyAlignment="1">
      <alignment horizontal="center"/>
    </xf>
    <xf numFmtId="0" fontId="22" fillId="6" borderId="21" xfId="0" applyFont="1" applyFill="1" applyBorder="1" applyAlignment="1">
      <alignment horizontal="center"/>
    </xf>
    <xf numFmtId="0" fontId="22" fillId="6" borderId="21" xfId="0" applyFont="1" applyFill="1" applyBorder="1"/>
    <xf numFmtId="0" fontId="22" fillId="6" borderId="21" xfId="0" applyFont="1" applyFill="1" applyBorder="1" applyAlignment="1">
      <alignment horizontal="left"/>
    </xf>
    <xf numFmtId="0" fontId="23" fillId="0" borderId="0" xfId="0" applyFont="1"/>
    <xf numFmtId="0" fontId="21" fillId="6" borderId="21" xfId="0" applyFont="1" applyFill="1" applyBorder="1"/>
    <xf numFmtId="0" fontId="24" fillId="3" borderId="21" xfId="0" applyFont="1" applyFill="1" applyBorder="1" applyAlignment="1">
      <alignment wrapText="1"/>
    </xf>
    <xf numFmtId="0" fontId="24" fillId="3" borderId="21" xfId="0" applyFont="1" applyFill="1" applyBorder="1" applyAlignment="1">
      <alignment horizontal="center" wrapText="1"/>
    </xf>
    <xf numFmtId="0" fontId="24" fillId="3" borderId="21" xfId="0" applyFont="1" applyFill="1" applyBorder="1" applyAlignment="1">
      <alignment horizontal="center" vertical="center" wrapText="1"/>
    </xf>
    <xf numFmtId="0" fontId="24" fillId="3" borderId="21" xfId="0" applyFont="1" applyFill="1" applyBorder="1" applyAlignment="1">
      <alignment horizontal="center"/>
    </xf>
    <xf numFmtId="0" fontId="25" fillId="0" borderId="0" xfId="0" applyFont="1"/>
    <xf numFmtId="0" fontId="18" fillId="14" borderId="21" xfId="0" applyFont="1" applyFill="1" applyBorder="1" applyAlignment="1">
      <alignment wrapText="1"/>
    </xf>
    <xf numFmtId="0" fontId="18" fillId="14" borderId="21" xfId="0" applyFont="1" applyFill="1" applyBorder="1" applyAlignment="1">
      <alignment horizontal="center" wrapText="1"/>
    </xf>
    <xf numFmtId="0" fontId="18" fillId="14" borderId="21" xfId="0" applyFont="1" applyFill="1" applyBorder="1" applyAlignment="1">
      <alignment horizontal="center" vertical="center" wrapText="1"/>
    </xf>
    <xf numFmtId="0" fontId="18" fillId="14" borderId="21" xfId="0" applyFont="1" applyFill="1" applyBorder="1" applyAlignment="1">
      <alignment horizontal="center"/>
    </xf>
    <xf numFmtId="0" fontId="26" fillId="3" borderId="21" xfId="0" applyFont="1" applyFill="1" applyBorder="1" applyAlignment="1">
      <alignment horizontal="center" vertical="center" wrapText="1"/>
    </xf>
    <xf numFmtId="0" fontId="26" fillId="14" borderId="21" xfId="0" applyFont="1" applyFill="1" applyBorder="1" applyAlignment="1">
      <alignment horizontal="center" vertical="center" wrapText="1"/>
    </xf>
    <xf numFmtId="0" fontId="27" fillId="0" borderId="0" xfId="0" applyFont="1"/>
    <xf numFmtId="0" fontId="28" fillId="0" borderId="0" xfId="0" applyFont="1" applyAlignment="1">
      <alignment horizontal="center" vertical="center" wrapText="1"/>
    </xf>
    <xf numFmtId="0" fontId="30" fillId="0" borderId="43" xfId="0" applyFont="1" applyBorder="1" applyAlignment="1">
      <alignment horizontal="center" vertical="center" wrapText="1"/>
    </xf>
    <xf numFmtId="0" fontId="30" fillId="15" borderId="43" xfId="0" applyFont="1" applyFill="1" applyBorder="1" applyAlignment="1">
      <alignment horizontal="center" vertical="center"/>
    </xf>
    <xf numFmtId="0" fontId="30" fillId="16" borderId="43" xfId="0" applyFont="1" applyFill="1" applyBorder="1" applyAlignment="1">
      <alignment horizontal="center" vertical="center"/>
    </xf>
    <xf numFmtId="0" fontId="30" fillId="15" borderId="45" xfId="0" applyFont="1" applyFill="1" applyBorder="1" applyAlignment="1">
      <alignment horizontal="center" vertical="center"/>
    </xf>
    <xf numFmtId="0" fontId="30" fillId="16" borderId="45" xfId="0" applyFont="1" applyFill="1" applyBorder="1" applyAlignment="1">
      <alignment horizontal="center" vertical="center"/>
    </xf>
    <xf numFmtId="0" fontId="30" fillId="17" borderId="43" xfId="0" applyFont="1" applyFill="1" applyBorder="1" applyAlignment="1">
      <alignment horizontal="center" vertical="center"/>
    </xf>
    <xf numFmtId="0" fontId="30" fillId="18" borderId="43" xfId="0" applyFont="1" applyFill="1" applyBorder="1" applyAlignment="1">
      <alignment horizontal="center" vertical="center"/>
    </xf>
    <xf numFmtId="0" fontId="30" fillId="0" borderId="42" xfId="0" applyFont="1" applyBorder="1" applyAlignment="1">
      <alignment horizontal="center" vertical="center" wrapText="1"/>
    </xf>
    <xf numFmtId="0" fontId="29" fillId="3" borderId="21" xfId="0" applyFont="1" applyFill="1" applyBorder="1" applyAlignment="1">
      <alignment vertical="center"/>
    </xf>
    <xf numFmtId="0" fontId="31" fillId="19" borderId="50" xfId="0" applyFont="1" applyFill="1" applyBorder="1" applyAlignment="1">
      <alignment horizontal="center" vertical="center"/>
    </xf>
    <xf numFmtId="0" fontId="31" fillId="19" borderId="51" xfId="0" applyFont="1" applyFill="1" applyBorder="1" applyAlignment="1">
      <alignment horizontal="center" vertical="center"/>
    </xf>
    <xf numFmtId="0" fontId="31" fillId="19" borderId="52" xfId="0" applyFont="1" applyFill="1" applyBorder="1" applyAlignment="1">
      <alignment horizontal="center" vertical="center" wrapText="1"/>
    </xf>
    <xf numFmtId="0" fontId="30" fillId="0" borderId="54" xfId="0" applyFont="1" applyBorder="1" applyAlignment="1">
      <alignment horizontal="center" vertical="center"/>
    </xf>
    <xf numFmtId="0" fontId="32" fillId="0" borderId="55" xfId="0" applyFont="1" applyBorder="1" applyAlignment="1">
      <alignment horizontal="center" vertical="center"/>
    </xf>
    <xf numFmtId="0" fontId="12" fillId="0" borderId="56" xfId="0" applyFont="1" applyBorder="1" applyAlignment="1">
      <alignment horizontal="center" vertical="center" wrapText="1"/>
    </xf>
    <xf numFmtId="0" fontId="30" fillId="0" borderId="55" xfId="0" applyFont="1" applyBorder="1" applyAlignment="1">
      <alignment horizontal="center" vertical="center"/>
    </xf>
    <xf numFmtId="0" fontId="11" fillId="0" borderId="55" xfId="0" applyFont="1" applyBorder="1" applyAlignment="1">
      <alignment horizontal="center" vertical="center"/>
    </xf>
    <xf numFmtId="0" fontId="30" fillId="0" borderId="58" xfId="0" applyFont="1" applyBorder="1" applyAlignment="1">
      <alignment horizontal="center" vertical="center"/>
    </xf>
    <xf numFmtId="0" fontId="11" fillId="0" borderId="59" xfId="0" applyFont="1" applyBorder="1" applyAlignment="1">
      <alignment horizontal="center" vertical="center"/>
    </xf>
    <xf numFmtId="0" fontId="12" fillId="0" borderId="60" xfId="0" applyFont="1" applyBorder="1" applyAlignment="1">
      <alignment horizontal="center" vertical="center" wrapText="1"/>
    </xf>
    <xf numFmtId="0" fontId="30" fillId="0" borderId="59" xfId="0" applyFont="1" applyBorder="1" applyAlignment="1">
      <alignment horizontal="center" vertical="center"/>
    </xf>
    <xf numFmtId="0" fontId="30" fillId="0" borderId="61" xfId="0" applyFont="1" applyBorder="1" applyAlignment="1">
      <alignment horizontal="center" vertical="center"/>
    </xf>
    <xf numFmtId="0" fontId="11" fillId="0" borderId="62" xfId="0" applyFont="1" applyBorder="1" applyAlignment="1">
      <alignment horizontal="center" vertical="center"/>
    </xf>
    <xf numFmtId="0" fontId="12" fillId="0" borderId="63" xfId="0" applyFont="1" applyBorder="1" applyAlignment="1">
      <alignment horizontal="center" vertical="center" wrapText="1"/>
    </xf>
    <xf numFmtId="0" fontId="30" fillId="0" borderId="62" xfId="0" applyFont="1" applyBorder="1" applyAlignment="1">
      <alignment horizontal="center" vertical="center"/>
    </xf>
    <xf numFmtId="0" fontId="11" fillId="3" borderId="21" xfId="0" applyFont="1" applyFill="1" applyBorder="1" applyAlignment="1">
      <alignment vertical="center"/>
    </xf>
    <xf numFmtId="0" fontId="11" fillId="0" borderId="0" xfId="0" applyFont="1" applyAlignment="1">
      <alignment vertical="center"/>
    </xf>
    <xf numFmtId="0" fontId="35" fillId="10" borderId="65" xfId="0" applyFont="1" applyFill="1" applyBorder="1" applyAlignment="1">
      <alignment horizontal="center" vertical="center" wrapText="1"/>
    </xf>
    <xf numFmtId="0" fontId="35" fillId="10" borderId="66" xfId="0" applyFont="1" applyFill="1" applyBorder="1" applyAlignment="1">
      <alignment horizontal="center" vertical="center" wrapText="1"/>
    </xf>
    <xf numFmtId="0" fontId="35" fillId="10" borderId="67" xfId="0" applyFont="1" applyFill="1" applyBorder="1" applyAlignment="1">
      <alignment horizontal="center" vertical="center" wrapText="1"/>
    </xf>
    <xf numFmtId="0" fontId="36" fillId="20" borderId="45" xfId="0" applyFont="1" applyFill="1" applyBorder="1" applyAlignment="1">
      <alignment horizontal="center" vertical="center"/>
    </xf>
    <xf numFmtId="0" fontId="12" fillId="21" borderId="45" xfId="0" applyFont="1" applyFill="1" applyBorder="1" applyAlignment="1">
      <alignment horizontal="center" vertical="center" wrapText="1"/>
    </xf>
    <xf numFmtId="0" fontId="36" fillId="6" borderId="45" xfId="0" applyFont="1" applyFill="1" applyBorder="1" applyAlignment="1">
      <alignment horizontal="center" vertical="center" wrapText="1"/>
    </xf>
    <xf numFmtId="0" fontId="12" fillId="3" borderId="45" xfId="0" applyFont="1" applyFill="1" applyBorder="1" applyAlignment="1">
      <alignment horizontal="center" vertical="center" wrapText="1"/>
    </xf>
    <xf numFmtId="0" fontId="36" fillId="20" borderId="43" xfId="0" applyFont="1" applyFill="1" applyBorder="1" applyAlignment="1">
      <alignment horizontal="center" vertical="center"/>
    </xf>
    <xf numFmtId="0" fontId="12" fillId="21" borderId="43" xfId="0" applyFont="1" applyFill="1" applyBorder="1" applyAlignment="1">
      <alignment horizontal="center" vertical="center" wrapText="1"/>
    </xf>
    <xf numFmtId="0" fontId="36" fillId="6" borderId="43" xfId="0" applyFont="1" applyFill="1" applyBorder="1" applyAlignment="1">
      <alignment horizontal="center" vertical="center" wrapText="1"/>
    </xf>
    <xf numFmtId="0" fontId="12" fillId="3" borderId="43" xfId="0" applyFont="1" applyFill="1" applyBorder="1" applyAlignment="1">
      <alignment horizontal="center" vertical="center" wrapText="1"/>
    </xf>
    <xf numFmtId="0" fontId="12" fillId="22" borderId="43" xfId="0" applyFont="1" applyFill="1" applyBorder="1" applyAlignment="1">
      <alignment horizontal="center" vertical="center" wrapText="1"/>
    </xf>
    <xf numFmtId="0" fontId="37" fillId="23" borderId="43" xfId="0" applyFont="1" applyFill="1" applyBorder="1" applyAlignment="1">
      <alignment horizontal="center" vertical="center" wrapText="1"/>
    </xf>
    <xf numFmtId="0" fontId="38" fillId="24" borderId="43" xfId="0" applyFont="1" applyFill="1" applyBorder="1" applyAlignment="1">
      <alignment horizontal="center" vertical="center" wrapText="1"/>
    </xf>
    <xf numFmtId="0" fontId="38" fillId="10" borderId="43" xfId="0" applyFont="1" applyFill="1" applyBorder="1" applyAlignment="1">
      <alignment horizontal="center" vertical="center" wrapText="1"/>
    </xf>
    <xf numFmtId="0" fontId="38" fillId="12" borderId="43" xfId="0" applyFont="1" applyFill="1" applyBorder="1" applyAlignment="1">
      <alignment horizontal="center" vertical="center" wrapText="1"/>
    </xf>
    <xf numFmtId="0" fontId="38" fillId="25" borderId="43" xfId="0" applyFont="1" applyFill="1" applyBorder="1" applyAlignment="1">
      <alignment horizontal="center" vertical="center" wrapText="1"/>
    </xf>
    <xf numFmtId="0" fontId="39" fillId="3" borderId="43" xfId="0" applyFont="1" applyFill="1" applyBorder="1" applyAlignment="1">
      <alignment horizontal="center" vertical="center" wrapText="1"/>
    </xf>
    <xf numFmtId="0" fontId="38" fillId="26" borderId="43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6" fillId="3" borderId="21" xfId="0" applyFont="1" applyFill="1" applyBorder="1"/>
    <xf numFmtId="0" fontId="40" fillId="0" borderId="0" xfId="0" applyFont="1"/>
    <xf numFmtId="0" fontId="41" fillId="27" borderId="51" xfId="0" applyFont="1" applyFill="1" applyBorder="1" applyAlignment="1">
      <alignment horizontal="center" vertical="center"/>
    </xf>
    <xf numFmtId="0" fontId="42" fillId="23" borderId="55" xfId="0" applyFont="1" applyFill="1" applyBorder="1" applyAlignment="1">
      <alignment horizontal="center" vertical="center"/>
    </xf>
    <xf numFmtId="0" fontId="43" fillId="0" borderId="43" xfId="0" applyFont="1" applyBorder="1" applyAlignment="1">
      <alignment vertical="center"/>
    </xf>
    <xf numFmtId="0" fontId="42" fillId="23" borderId="59" xfId="0" applyFont="1" applyFill="1" applyBorder="1" applyAlignment="1">
      <alignment horizontal="center" vertical="center"/>
    </xf>
    <xf numFmtId="0" fontId="16" fillId="0" borderId="43" xfId="0" applyFont="1" applyBorder="1" applyAlignment="1">
      <alignment vertical="center"/>
    </xf>
    <xf numFmtId="0" fontId="9" fillId="5" borderId="68" xfId="0" applyFont="1" applyFill="1" applyBorder="1" applyAlignment="1">
      <alignment horizontal="center" vertical="center" wrapText="1"/>
    </xf>
    <xf numFmtId="0" fontId="9" fillId="11" borderId="68" xfId="0" applyFont="1" applyFill="1" applyBorder="1" applyAlignment="1">
      <alignment horizontal="center" vertical="center" wrapText="1"/>
    </xf>
    <xf numFmtId="0" fontId="45" fillId="6" borderId="2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11" fillId="3" borderId="21" xfId="0" applyFont="1" applyFill="1" applyBorder="1" applyAlignment="1">
      <alignment horizontal="left" vertical="center" wrapText="1"/>
    </xf>
    <xf numFmtId="0" fontId="12" fillId="3" borderId="21" xfId="0" applyFont="1" applyFill="1" applyBorder="1" applyAlignment="1">
      <alignment horizontal="left"/>
    </xf>
    <xf numFmtId="0" fontId="46" fillId="28" borderId="69" xfId="0" applyFont="1" applyFill="1" applyBorder="1" applyAlignment="1">
      <alignment horizontal="center" vertical="center" wrapText="1"/>
    </xf>
    <xf numFmtId="0" fontId="46" fillId="28" borderId="71" xfId="0" applyFont="1" applyFill="1" applyBorder="1" applyAlignment="1">
      <alignment horizontal="center" vertical="center" wrapText="1"/>
    </xf>
    <xf numFmtId="0" fontId="46" fillId="28" borderId="68" xfId="0" applyFont="1" applyFill="1" applyBorder="1" applyAlignment="1">
      <alignment horizontal="center" vertical="center" wrapText="1"/>
    </xf>
    <xf numFmtId="0" fontId="46" fillId="28" borderId="68" xfId="0" applyFont="1" applyFill="1" applyBorder="1" applyAlignment="1">
      <alignment horizontal="left" vertical="center" wrapText="1"/>
    </xf>
    <xf numFmtId="1" fontId="46" fillId="28" borderId="68" xfId="0" applyNumberFormat="1" applyFont="1" applyFill="1" applyBorder="1" applyAlignment="1">
      <alignment horizontal="center" vertical="center" wrapText="1"/>
    </xf>
    <xf numFmtId="0" fontId="48" fillId="29" borderId="68" xfId="0" applyFont="1" applyFill="1" applyBorder="1" applyAlignment="1">
      <alignment horizontal="center" vertical="center" wrapText="1"/>
    </xf>
    <xf numFmtId="0" fontId="48" fillId="28" borderId="68" xfId="0" applyFont="1" applyFill="1" applyBorder="1" applyAlignment="1">
      <alignment horizontal="center" vertical="center" wrapText="1"/>
    </xf>
    <xf numFmtId="0" fontId="49" fillId="28" borderId="68" xfId="0" applyFont="1" applyFill="1" applyBorder="1" applyAlignment="1">
      <alignment horizontal="center" vertical="center" wrapText="1"/>
    </xf>
    <xf numFmtId="0" fontId="48" fillId="28" borderId="3" xfId="0" applyFont="1" applyFill="1" applyBorder="1" applyAlignment="1">
      <alignment horizontal="center" vertical="center" wrapText="1"/>
    </xf>
    <xf numFmtId="0" fontId="48" fillId="28" borderId="1" xfId="0" applyFont="1" applyFill="1" applyBorder="1" applyAlignment="1">
      <alignment horizontal="center" vertical="center" wrapText="1"/>
    </xf>
    <xf numFmtId="0" fontId="50" fillId="28" borderId="0" xfId="0" applyFont="1" applyFill="1"/>
    <xf numFmtId="0" fontId="51" fillId="28" borderId="0" xfId="0" applyFont="1" applyFill="1"/>
    <xf numFmtId="0" fontId="50" fillId="28" borderId="0" xfId="0" applyFont="1" applyFill="1" applyAlignment="1">
      <alignment horizontal="center" wrapText="1"/>
    </xf>
    <xf numFmtId="0" fontId="46" fillId="28" borderId="81" xfId="0" applyFont="1" applyFill="1" applyBorder="1" applyAlignment="1">
      <alignment horizontal="center" vertical="center" wrapText="1"/>
    </xf>
    <xf numFmtId="0" fontId="48" fillId="28" borderId="70" xfId="0" applyFont="1" applyFill="1" applyBorder="1" applyAlignment="1">
      <alignment horizontal="center" vertical="center" wrapText="1"/>
    </xf>
    <xf numFmtId="0" fontId="46" fillId="28" borderId="12" xfId="0" applyFont="1" applyFill="1" applyBorder="1" applyAlignment="1">
      <alignment horizontal="left" vertical="center" wrapText="1"/>
    </xf>
    <xf numFmtId="0" fontId="46" fillId="28" borderId="26" xfId="0" applyFont="1" applyFill="1" applyBorder="1" applyAlignment="1">
      <alignment horizontal="center" vertical="center" wrapText="1"/>
    </xf>
    <xf numFmtId="0" fontId="46" fillId="28" borderId="19" xfId="0" applyFont="1" applyFill="1" applyBorder="1" applyAlignment="1">
      <alignment horizontal="left" vertical="center" wrapText="1"/>
    </xf>
    <xf numFmtId="0" fontId="46" fillId="28" borderId="70" xfId="0" applyFont="1" applyFill="1" applyBorder="1" applyAlignment="1">
      <alignment horizontal="center" vertical="center" wrapText="1"/>
    </xf>
    <xf numFmtId="1" fontId="46" fillId="28" borderId="12" xfId="0" applyNumberFormat="1" applyFont="1" applyFill="1" applyBorder="1" applyAlignment="1">
      <alignment horizontal="center" vertical="center" wrapText="1"/>
    </xf>
    <xf numFmtId="1" fontId="46" fillId="28" borderId="26" xfId="0" applyNumberFormat="1" applyFont="1" applyFill="1" applyBorder="1" applyAlignment="1">
      <alignment horizontal="center" vertical="center" wrapText="1"/>
    </xf>
    <xf numFmtId="0" fontId="48" fillId="29" borderId="26" xfId="0" applyFont="1" applyFill="1" applyBorder="1" applyAlignment="1">
      <alignment horizontal="center" vertical="center" wrapText="1"/>
    </xf>
    <xf numFmtId="0" fontId="48" fillId="28" borderId="26" xfId="0" applyFont="1" applyFill="1" applyBorder="1" applyAlignment="1">
      <alignment horizontal="center" vertical="center" wrapText="1"/>
    </xf>
    <xf numFmtId="0" fontId="46" fillId="28" borderId="19" xfId="0" applyFont="1" applyFill="1" applyBorder="1" applyAlignment="1">
      <alignment horizontal="center" vertical="center" wrapText="1"/>
    </xf>
    <xf numFmtId="0" fontId="49" fillId="28" borderId="70" xfId="0" applyFont="1" applyFill="1" applyBorder="1" applyAlignment="1">
      <alignment horizontal="center" vertical="center" wrapText="1"/>
    </xf>
    <xf numFmtId="0" fontId="46" fillId="28" borderId="12" xfId="0" applyFont="1" applyFill="1" applyBorder="1" applyAlignment="1">
      <alignment horizontal="center" vertical="center" wrapText="1"/>
    </xf>
    <xf numFmtId="0" fontId="46" fillId="28" borderId="80" xfId="0" applyFont="1" applyFill="1" applyBorder="1" applyAlignment="1">
      <alignment horizontal="center" vertical="center" wrapText="1"/>
    </xf>
    <xf numFmtId="0" fontId="46" fillId="28" borderId="79" xfId="0" applyFont="1" applyFill="1" applyBorder="1" applyAlignment="1">
      <alignment horizontal="center" vertical="center" wrapText="1"/>
    </xf>
    <xf numFmtId="0" fontId="46" fillId="28" borderId="82" xfId="0" applyFont="1" applyFill="1" applyBorder="1" applyAlignment="1">
      <alignment horizontal="center" vertical="center" wrapText="1"/>
    </xf>
    <xf numFmtId="0" fontId="48" fillId="28" borderId="72" xfId="0" applyFont="1" applyFill="1" applyBorder="1" applyAlignment="1">
      <alignment horizontal="center" vertical="center" wrapText="1"/>
    </xf>
    <xf numFmtId="0" fontId="46" fillId="28" borderId="3" xfId="0" applyFont="1" applyFill="1" applyBorder="1" applyAlignment="1">
      <alignment horizontal="left" vertical="center" wrapText="1"/>
    </xf>
    <xf numFmtId="0" fontId="46" fillId="28" borderId="1" xfId="0" applyFont="1" applyFill="1" applyBorder="1" applyAlignment="1">
      <alignment horizontal="center" vertical="center" wrapText="1"/>
    </xf>
    <xf numFmtId="0" fontId="46" fillId="28" borderId="2" xfId="0" applyFont="1" applyFill="1" applyBorder="1" applyAlignment="1">
      <alignment horizontal="left" vertical="center" wrapText="1"/>
    </xf>
    <xf numFmtId="1" fontId="46" fillId="28" borderId="3" xfId="0" applyNumberFormat="1" applyFont="1" applyFill="1" applyBorder="1" applyAlignment="1">
      <alignment horizontal="center" vertical="center" wrapText="1"/>
    </xf>
    <xf numFmtId="1" fontId="46" fillId="28" borderId="1" xfId="0" applyNumberFormat="1" applyFont="1" applyFill="1" applyBorder="1" applyAlignment="1">
      <alignment horizontal="center" vertical="center" wrapText="1"/>
    </xf>
    <xf numFmtId="0" fontId="48" fillId="29" borderId="1" xfId="0" applyFont="1" applyFill="1" applyBorder="1" applyAlignment="1">
      <alignment horizontal="center" vertical="center" wrapText="1"/>
    </xf>
    <xf numFmtId="0" fontId="46" fillId="28" borderId="2" xfId="0" applyFont="1" applyFill="1" applyBorder="1" applyAlignment="1">
      <alignment horizontal="center" vertical="center" wrapText="1"/>
    </xf>
    <xf numFmtId="0" fontId="46" fillId="28" borderId="3" xfId="0" applyFont="1" applyFill="1" applyBorder="1" applyAlignment="1">
      <alignment horizontal="center" vertical="center" wrapText="1"/>
    </xf>
    <xf numFmtId="0" fontId="46" fillId="28" borderId="23" xfId="0" applyFont="1" applyFill="1" applyBorder="1" applyAlignment="1">
      <alignment horizontal="center" vertical="center" wrapText="1"/>
    </xf>
    <xf numFmtId="0" fontId="46" fillId="28" borderId="16" xfId="0" applyFont="1" applyFill="1" applyBorder="1" applyAlignment="1">
      <alignment horizontal="left" vertical="center" wrapText="1"/>
    </xf>
    <xf numFmtId="0" fontId="46" fillId="28" borderId="41" xfId="0" applyFont="1" applyFill="1" applyBorder="1" applyAlignment="1">
      <alignment horizontal="center" vertical="center" wrapText="1"/>
    </xf>
    <xf numFmtId="0" fontId="46" fillId="28" borderId="24" xfId="0" applyFont="1" applyFill="1" applyBorder="1" applyAlignment="1">
      <alignment horizontal="center" vertical="center" wrapText="1"/>
    </xf>
    <xf numFmtId="0" fontId="51" fillId="28" borderId="0" xfId="0" applyFont="1" applyFill="1" applyAlignment="1">
      <alignment horizontal="center" vertical="center" wrapText="1"/>
    </xf>
    <xf numFmtId="0" fontId="47" fillId="28" borderId="68" xfId="0" applyFont="1" applyFill="1" applyBorder="1" applyAlignment="1">
      <alignment horizontal="center" vertical="center"/>
    </xf>
    <xf numFmtId="0" fontId="46" fillId="30" borderId="3" xfId="0" applyFont="1" applyFill="1" applyBorder="1" applyAlignment="1">
      <alignment horizontal="left" vertical="center" wrapText="1"/>
    </xf>
    <xf numFmtId="0" fontId="46" fillId="28" borderId="1" xfId="0" applyFont="1" applyFill="1" applyBorder="1" applyAlignment="1">
      <alignment horizontal="left" vertical="center" wrapText="1"/>
    </xf>
    <xf numFmtId="0" fontId="46" fillId="28" borderId="23" xfId="0" applyFont="1" applyFill="1" applyBorder="1" applyAlignment="1">
      <alignment horizontal="left" vertical="center" wrapText="1"/>
    </xf>
    <xf numFmtId="0" fontId="46" fillId="28" borderId="16" xfId="0" applyFont="1" applyFill="1" applyBorder="1" applyAlignment="1">
      <alignment horizontal="center" vertical="center" wrapText="1"/>
    </xf>
    <xf numFmtId="0" fontId="46" fillId="28" borderId="17" xfId="0" applyFont="1" applyFill="1" applyBorder="1" applyAlignment="1">
      <alignment horizontal="center" vertical="center" wrapText="1"/>
    </xf>
    <xf numFmtId="1" fontId="46" fillId="28" borderId="23" xfId="0" applyNumberFormat="1" applyFont="1" applyFill="1" applyBorder="1" applyAlignment="1">
      <alignment horizontal="center" vertical="center" wrapText="1"/>
    </xf>
    <xf numFmtId="0" fontId="46" fillId="28" borderId="17" xfId="0" applyFont="1" applyFill="1" applyBorder="1" applyAlignment="1">
      <alignment horizontal="left" vertical="center" wrapText="1"/>
    </xf>
    <xf numFmtId="0" fontId="46" fillId="28" borderId="23" xfId="0" applyFont="1" applyFill="1" applyBorder="1" applyAlignment="1">
      <alignment vertical="center" wrapText="1"/>
    </xf>
    <xf numFmtId="0" fontId="46" fillId="28" borderId="68" xfId="0" applyFont="1" applyFill="1" applyBorder="1" applyAlignment="1">
      <alignment vertical="center" wrapText="1"/>
    </xf>
    <xf numFmtId="0" fontId="46" fillId="28" borderId="25" xfId="0" applyFont="1" applyFill="1" applyBorder="1" applyAlignment="1">
      <alignment horizontal="left" vertical="center" wrapText="1"/>
    </xf>
    <xf numFmtId="0" fontId="46" fillId="28" borderId="18" xfId="0" applyFont="1" applyFill="1" applyBorder="1" applyAlignment="1">
      <alignment horizontal="center" vertical="center" wrapText="1"/>
    </xf>
    <xf numFmtId="0" fontId="46" fillId="28" borderId="9" xfId="0" applyFont="1" applyFill="1" applyBorder="1" applyAlignment="1">
      <alignment horizontal="center" vertical="center" wrapText="1"/>
    </xf>
    <xf numFmtId="1" fontId="46" fillId="28" borderId="25" xfId="0" applyNumberFormat="1" applyFont="1" applyFill="1" applyBorder="1" applyAlignment="1">
      <alignment horizontal="center" vertical="center" wrapText="1"/>
    </xf>
    <xf numFmtId="0" fontId="52" fillId="2" borderId="1" xfId="0" applyFont="1" applyFill="1" applyBorder="1" applyAlignment="1">
      <alignment horizontal="left" vertical="center" wrapText="1"/>
    </xf>
    <xf numFmtId="0" fontId="52" fillId="5" borderId="1" xfId="0" applyFont="1" applyFill="1" applyBorder="1" applyAlignment="1">
      <alignment horizontal="center" vertical="center" wrapText="1"/>
    </xf>
    <xf numFmtId="0" fontId="48" fillId="0" borderId="1" xfId="0" applyFont="1" applyBorder="1"/>
    <xf numFmtId="0" fontId="46" fillId="31" borderId="68" xfId="0" applyFont="1" applyFill="1" applyBorder="1" applyAlignment="1">
      <alignment horizontal="center" vertical="center" wrapText="1"/>
    </xf>
    <xf numFmtId="0" fontId="54" fillId="32" borderId="68" xfId="0" applyFont="1" applyFill="1" applyBorder="1" applyAlignment="1">
      <alignment horizontal="left" vertical="center" wrapText="1"/>
    </xf>
    <xf numFmtId="0" fontId="47" fillId="28" borderId="68" xfId="0" applyFont="1" applyFill="1" applyBorder="1" applyAlignment="1">
      <alignment horizontal="center" vertical="center" wrapText="1"/>
    </xf>
    <xf numFmtId="0" fontId="47" fillId="28" borderId="16" xfId="0" applyFont="1" applyFill="1" applyBorder="1" applyAlignment="1">
      <alignment horizontal="left" vertical="center" wrapText="1"/>
    </xf>
    <xf numFmtId="0" fontId="46" fillId="31" borderId="1" xfId="0" applyFont="1" applyFill="1" applyBorder="1" applyAlignment="1">
      <alignment horizontal="left" vertical="center" wrapText="1"/>
    </xf>
    <xf numFmtId="0" fontId="46" fillId="31" borderId="1" xfId="0" applyFont="1" applyFill="1" applyBorder="1" applyAlignment="1">
      <alignment horizontal="center" vertical="center" wrapText="1"/>
    </xf>
    <xf numFmtId="0" fontId="25" fillId="28" borderId="68" xfId="0" applyFont="1" applyFill="1" applyBorder="1" applyAlignment="1">
      <alignment horizontal="center" vertical="center" wrapText="1"/>
    </xf>
    <xf numFmtId="0" fontId="30" fillId="33" borderId="45" xfId="0" applyFont="1" applyFill="1" applyBorder="1" applyAlignment="1">
      <alignment horizontal="center" vertical="center"/>
    </xf>
    <xf numFmtId="0" fontId="54" fillId="4" borderId="2" xfId="0" applyFont="1" applyFill="1" applyBorder="1" applyAlignment="1">
      <alignment horizontal="center" vertical="center"/>
    </xf>
    <xf numFmtId="0" fontId="47" fillId="0" borderId="15" xfId="0" applyFont="1" applyBorder="1"/>
    <xf numFmtId="0" fontId="47" fillId="0" borderId="3" xfId="0" applyFont="1" applyBorder="1"/>
    <xf numFmtId="0" fontId="55" fillId="3" borderId="2" xfId="0" applyFont="1" applyFill="1" applyBorder="1" applyAlignment="1">
      <alignment horizontal="center" vertical="center"/>
    </xf>
    <xf numFmtId="0" fontId="52" fillId="3" borderId="2" xfId="0" applyFont="1" applyFill="1" applyBorder="1" applyAlignment="1">
      <alignment horizontal="center" vertical="center" wrapText="1"/>
    </xf>
    <xf numFmtId="0" fontId="55" fillId="3" borderId="2" xfId="0" applyFont="1" applyFill="1" applyBorder="1" applyAlignment="1">
      <alignment horizontal="center" vertical="center" wrapText="1"/>
    </xf>
    <xf numFmtId="0" fontId="52" fillId="2" borderId="2" xfId="0" applyFont="1" applyFill="1" applyBorder="1" applyAlignment="1">
      <alignment horizontal="center" vertical="center" wrapText="1"/>
    </xf>
    <xf numFmtId="0" fontId="52" fillId="2" borderId="16" xfId="0" applyFont="1" applyFill="1" applyBorder="1" applyAlignment="1">
      <alignment horizontal="center" vertical="center" wrapText="1"/>
    </xf>
    <xf numFmtId="0" fontId="47" fillId="0" borderId="17" xfId="0" applyFont="1" applyBorder="1"/>
    <xf numFmtId="0" fontId="47" fillId="0" borderId="18" xfId="0" applyFont="1" applyBorder="1"/>
    <xf numFmtId="0" fontId="47" fillId="0" borderId="9" xfId="0" applyFont="1" applyBorder="1"/>
    <xf numFmtId="0" fontId="47" fillId="0" borderId="19" xfId="0" applyFont="1" applyBorder="1"/>
    <xf numFmtId="0" fontId="47" fillId="0" borderId="12" xfId="0" applyFont="1" applyBorder="1"/>
    <xf numFmtId="164" fontId="46" fillId="0" borderId="2" xfId="0" applyNumberFormat="1" applyFont="1" applyBorder="1" applyAlignment="1">
      <alignment horizontal="center" vertical="center" wrapText="1"/>
    </xf>
    <xf numFmtId="0" fontId="53" fillId="3" borderId="4" xfId="0" applyFont="1" applyFill="1" applyBorder="1" applyAlignment="1">
      <alignment horizontal="center" vertical="center" wrapText="1"/>
    </xf>
    <xf numFmtId="0" fontId="47" fillId="0" borderId="5" xfId="0" applyFont="1" applyBorder="1"/>
    <xf numFmtId="0" fontId="47" fillId="0" borderId="6" xfId="0" applyFont="1" applyBorder="1"/>
    <xf numFmtId="0" fontId="47" fillId="0" borderId="8" xfId="0" applyFont="1" applyBorder="1"/>
    <xf numFmtId="0" fontId="51" fillId="0" borderId="0" xfId="0" applyFont="1"/>
    <xf numFmtId="0" fontId="47" fillId="0" borderId="10" xfId="0" applyFont="1" applyBorder="1"/>
    <xf numFmtId="0" fontId="47" fillId="0" borderId="11" xfId="0" applyFont="1" applyBorder="1"/>
    <xf numFmtId="0" fontId="48" fillId="0" borderId="0" xfId="0" applyFont="1"/>
    <xf numFmtId="0" fontId="47" fillId="0" borderId="7" xfId="0" applyFont="1" applyBorder="1"/>
    <xf numFmtId="0" fontId="47" fillId="0" borderId="13" xfId="0" applyFont="1" applyBorder="1"/>
    <xf numFmtId="0" fontId="47" fillId="0" borderId="14" xfId="0" applyFont="1" applyBorder="1"/>
    <xf numFmtId="0" fontId="48" fillId="0" borderId="2" xfId="0" applyFont="1" applyBorder="1" applyAlignment="1">
      <alignment horizontal="center" vertical="center" wrapText="1"/>
    </xf>
    <xf numFmtId="14" fontId="46" fillId="0" borderId="2" xfId="0" applyNumberFormat="1" applyFont="1" applyBorder="1" applyAlignment="1">
      <alignment horizontal="center" vertical="center" wrapText="1"/>
    </xf>
    <xf numFmtId="0" fontId="46" fillId="28" borderId="68" xfId="0" applyFont="1" applyFill="1" applyBorder="1" applyAlignment="1">
      <alignment horizontal="center" vertical="center" wrapText="1"/>
    </xf>
    <xf numFmtId="0" fontId="46" fillId="28" borderId="68" xfId="0" applyFont="1" applyFill="1" applyBorder="1" applyAlignment="1">
      <alignment horizontal="left" vertical="center" wrapText="1"/>
    </xf>
    <xf numFmtId="0" fontId="8" fillId="7" borderId="68" xfId="0" applyFont="1" applyFill="1" applyBorder="1" applyAlignment="1">
      <alignment horizontal="center" vertical="center" wrapText="1"/>
    </xf>
    <xf numFmtId="0" fontId="1" fillId="0" borderId="68" xfId="0" applyFont="1" applyBorder="1"/>
    <xf numFmtId="0" fontId="4" fillId="8" borderId="68" xfId="0" applyFont="1" applyFill="1" applyBorder="1" applyAlignment="1">
      <alignment horizontal="center" vertical="center" wrapText="1"/>
    </xf>
    <xf numFmtId="0" fontId="4" fillId="7" borderId="68" xfId="0" applyFont="1" applyFill="1" applyBorder="1" applyAlignment="1">
      <alignment horizontal="center" vertical="center" wrapText="1"/>
    </xf>
    <xf numFmtId="0" fontId="9" fillId="5" borderId="68" xfId="0" applyFont="1" applyFill="1" applyBorder="1" applyAlignment="1">
      <alignment horizontal="center" vertical="center" textRotation="90" wrapText="1"/>
    </xf>
    <xf numFmtId="0" fontId="46" fillId="28" borderId="83" xfId="0" applyFont="1" applyFill="1" applyBorder="1" applyAlignment="1">
      <alignment horizontal="center" vertical="center" wrapText="1"/>
    </xf>
    <xf numFmtId="0" fontId="46" fillId="28" borderId="81" xfId="0" applyFont="1" applyFill="1" applyBorder="1" applyAlignment="1">
      <alignment horizontal="center" vertical="center" wrapText="1"/>
    </xf>
    <xf numFmtId="0" fontId="46" fillId="28" borderId="84" xfId="0" applyFont="1" applyFill="1" applyBorder="1" applyAlignment="1">
      <alignment horizontal="center" vertical="center" wrapText="1"/>
    </xf>
    <xf numFmtId="0" fontId="46" fillId="28" borderId="85" xfId="0" applyFont="1" applyFill="1" applyBorder="1" applyAlignment="1">
      <alignment horizontal="center" vertical="center" wrapText="1"/>
    </xf>
    <xf numFmtId="0" fontId="48" fillId="28" borderId="69" xfId="0" applyFont="1" applyFill="1" applyBorder="1" applyAlignment="1">
      <alignment horizontal="center" vertical="center" wrapText="1"/>
    </xf>
    <xf numFmtId="0" fontId="48" fillId="28" borderId="70" xfId="0" applyFont="1" applyFill="1" applyBorder="1" applyAlignment="1">
      <alignment horizontal="center" vertical="center" wrapText="1"/>
    </xf>
    <xf numFmtId="0" fontId="4" fillId="7" borderId="23" xfId="0" applyFont="1" applyFill="1" applyBorder="1" applyAlignment="1">
      <alignment horizontal="center" vertical="center"/>
    </xf>
    <xf numFmtId="0" fontId="1" fillId="0" borderId="25" xfId="0" applyFont="1" applyBorder="1"/>
    <xf numFmtId="0" fontId="4" fillId="7" borderId="16" xfId="0" applyFont="1" applyFill="1" applyBorder="1" applyAlignment="1">
      <alignment horizontal="center" vertical="center" wrapText="1"/>
    </xf>
    <xf numFmtId="0" fontId="1" fillId="0" borderId="18" xfId="0" applyFont="1" applyBorder="1"/>
    <xf numFmtId="0" fontId="52" fillId="5" borderId="2" xfId="0" applyFont="1" applyFill="1" applyBorder="1" applyAlignment="1">
      <alignment horizontal="center" vertical="center"/>
    </xf>
    <xf numFmtId="49" fontId="52" fillId="3" borderId="2" xfId="0" applyNumberFormat="1" applyFont="1" applyFill="1" applyBorder="1" applyAlignment="1">
      <alignment horizontal="center" vertical="center" wrapText="1"/>
    </xf>
    <xf numFmtId="0" fontId="52" fillId="6" borderId="2" xfId="0" applyFont="1" applyFill="1" applyBorder="1" applyAlignment="1">
      <alignment horizontal="center" vertical="center" wrapText="1"/>
    </xf>
    <xf numFmtId="0" fontId="52" fillId="5" borderId="2" xfId="0" applyFont="1" applyFill="1" applyBorder="1" applyAlignment="1">
      <alignment horizontal="center" vertical="center" wrapText="1"/>
    </xf>
    <xf numFmtId="0" fontId="52" fillId="3" borderId="2" xfId="0" applyFont="1" applyFill="1" applyBorder="1" applyAlignment="1">
      <alignment horizontal="center" vertical="center"/>
    </xf>
    <xf numFmtId="0" fontId="46" fillId="28" borderId="71" xfId="0" applyFont="1" applyFill="1" applyBorder="1" applyAlignment="1">
      <alignment horizontal="center" vertical="center" wrapText="1"/>
    </xf>
    <xf numFmtId="0" fontId="47" fillId="28" borderId="68" xfId="0" applyFont="1" applyFill="1" applyBorder="1" applyAlignment="1">
      <alignment horizontal="center"/>
    </xf>
    <xf numFmtId="0" fontId="4" fillId="8" borderId="68" xfId="0" applyFont="1" applyFill="1" applyBorder="1" applyAlignment="1">
      <alignment horizontal="center"/>
    </xf>
    <xf numFmtId="0" fontId="4" fillId="10" borderId="68" xfId="0" applyFont="1" applyFill="1" applyBorder="1" applyAlignment="1">
      <alignment horizontal="center" vertical="center" wrapText="1"/>
    </xf>
    <xf numFmtId="0" fontId="4" fillId="9" borderId="68" xfId="0" applyFont="1" applyFill="1" applyBorder="1" applyAlignment="1">
      <alignment horizontal="center" vertical="center" wrapText="1"/>
    </xf>
    <xf numFmtId="0" fontId="9" fillId="5" borderId="68" xfId="0" applyFont="1" applyFill="1" applyBorder="1" applyAlignment="1">
      <alignment horizontal="center" vertical="center" wrapText="1"/>
    </xf>
    <xf numFmtId="0" fontId="4" fillId="9" borderId="17" xfId="0" applyFont="1" applyFill="1" applyBorder="1" applyAlignment="1">
      <alignment horizontal="center" vertical="center" wrapText="1"/>
    </xf>
    <xf numFmtId="0" fontId="1" fillId="0" borderId="9" xfId="0" applyFont="1" applyBorder="1"/>
    <xf numFmtId="0" fontId="1" fillId="0" borderId="12" xfId="0" applyFont="1" applyBorder="1"/>
    <xf numFmtId="0" fontId="4" fillId="7" borderId="23" xfId="0" applyFont="1" applyFill="1" applyBorder="1" applyAlignment="1">
      <alignment horizontal="center" vertical="center" wrapText="1"/>
    </xf>
    <xf numFmtId="0" fontId="1" fillId="0" borderId="26" xfId="0" applyFont="1" applyBorder="1"/>
    <xf numFmtId="0" fontId="9" fillId="11" borderId="68" xfId="0" applyFont="1" applyFill="1" applyBorder="1" applyAlignment="1">
      <alignment horizontal="center" vertical="center" wrapText="1"/>
    </xf>
    <xf numFmtId="0" fontId="46" fillId="28" borderId="69" xfId="0" applyFont="1" applyFill="1" applyBorder="1" applyAlignment="1">
      <alignment horizontal="center" vertical="center" wrapText="1"/>
    </xf>
    <xf numFmtId="0" fontId="46" fillId="28" borderId="73" xfId="0" applyFont="1" applyFill="1" applyBorder="1" applyAlignment="1">
      <alignment horizontal="center" vertical="center" wrapText="1"/>
    </xf>
    <xf numFmtId="0" fontId="46" fillId="28" borderId="70" xfId="0" applyFont="1" applyFill="1" applyBorder="1" applyAlignment="1">
      <alignment horizontal="center" vertical="center" wrapText="1"/>
    </xf>
    <xf numFmtId="0" fontId="46" fillId="30" borderId="74" xfId="0" applyFont="1" applyFill="1" applyBorder="1" applyAlignment="1">
      <alignment horizontal="left" vertical="center" wrapText="1"/>
    </xf>
    <xf numFmtId="0" fontId="46" fillId="30" borderId="75" xfId="0" applyFont="1" applyFill="1" applyBorder="1" applyAlignment="1">
      <alignment horizontal="left" vertical="center" wrapText="1"/>
    </xf>
    <xf numFmtId="0" fontId="46" fillId="28" borderId="80" xfId="0" applyFont="1" applyFill="1" applyBorder="1" applyAlignment="1">
      <alignment horizontal="center" vertical="center" wrapText="1"/>
    </xf>
    <xf numFmtId="0" fontId="46" fillId="28" borderId="78" xfId="0" applyFont="1" applyFill="1" applyBorder="1" applyAlignment="1">
      <alignment horizontal="center" vertical="center" wrapText="1"/>
    </xf>
    <xf numFmtId="0" fontId="5" fillId="5" borderId="68" xfId="0" applyFont="1" applyFill="1" applyBorder="1" applyAlignment="1">
      <alignment horizontal="center" vertical="center" wrapText="1"/>
    </xf>
    <xf numFmtId="0" fontId="2" fillId="0" borderId="68" xfId="0" applyFont="1" applyBorder="1"/>
    <xf numFmtId="0" fontId="17" fillId="13" borderId="37" xfId="0" applyFont="1" applyFill="1" applyBorder="1" applyAlignment="1">
      <alignment horizontal="center" vertical="center"/>
    </xf>
    <xf numFmtId="0" fontId="17" fillId="13" borderId="41" xfId="0" applyFont="1" applyFill="1" applyBorder="1" applyAlignment="1">
      <alignment horizontal="center" vertical="center"/>
    </xf>
    <xf numFmtId="0" fontId="17" fillId="13" borderId="39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/>
    </xf>
    <xf numFmtId="0" fontId="12" fillId="3" borderId="36" xfId="0" applyFont="1" applyFill="1" applyBorder="1" applyAlignment="1">
      <alignment horizontal="center"/>
    </xf>
    <xf numFmtId="0" fontId="15" fillId="3" borderId="30" xfId="0" applyFont="1" applyFill="1" applyBorder="1" applyAlignment="1">
      <alignment horizontal="left" vertical="center" wrapText="1"/>
    </xf>
    <xf numFmtId="0" fontId="15" fillId="3" borderId="36" xfId="0" applyFont="1" applyFill="1" applyBorder="1" applyAlignment="1">
      <alignment horizontal="left" vertical="center" wrapText="1"/>
    </xf>
    <xf numFmtId="0" fontId="15" fillId="3" borderId="31" xfId="0" applyFont="1" applyFill="1" applyBorder="1" applyAlignment="1">
      <alignment horizontal="left" vertical="center" wrapText="1"/>
    </xf>
    <xf numFmtId="0" fontId="15" fillId="3" borderId="32" xfId="0" applyFont="1" applyFill="1" applyBorder="1" applyAlignment="1">
      <alignment horizontal="left" vertical="center" wrapText="1"/>
    </xf>
    <xf numFmtId="0" fontId="15" fillId="3" borderId="33" xfId="0" applyFont="1" applyFill="1" applyBorder="1" applyAlignment="1">
      <alignment horizontal="left" vertical="center" wrapText="1"/>
    </xf>
    <xf numFmtId="0" fontId="15" fillId="3" borderId="34" xfId="0" applyFont="1" applyFill="1" applyBorder="1" applyAlignment="1">
      <alignment horizontal="left" vertical="center" wrapText="1"/>
    </xf>
    <xf numFmtId="0" fontId="13" fillId="12" borderId="50" xfId="0" applyFont="1" applyFill="1" applyBorder="1" applyAlignment="1">
      <alignment horizontal="center" vertical="center"/>
    </xf>
    <xf numFmtId="0" fontId="13" fillId="12" borderId="53" xfId="0" applyFont="1" applyFill="1" applyBorder="1" applyAlignment="1">
      <alignment horizontal="center" vertical="center"/>
    </xf>
    <xf numFmtId="0" fontId="13" fillId="12" borderId="52" xfId="0" applyFont="1" applyFill="1" applyBorder="1" applyAlignment="1">
      <alignment horizontal="center" vertical="center"/>
    </xf>
    <xf numFmtId="0" fontId="48" fillId="28" borderId="73" xfId="0" applyFont="1" applyFill="1" applyBorder="1" applyAlignment="1">
      <alignment horizontal="center" vertical="center" wrapText="1"/>
    </xf>
    <xf numFmtId="0" fontId="46" fillId="28" borderId="25" xfId="0" applyFont="1" applyFill="1" applyBorder="1" applyAlignment="1">
      <alignment horizontal="center" vertical="center" wrapText="1"/>
    </xf>
    <xf numFmtId="0" fontId="46" fillId="28" borderId="26" xfId="0" applyFont="1" applyFill="1" applyBorder="1" applyAlignment="1">
      <alignment horizontal="center" vertical="center" wrapText="1"/>
    </xf>
    <xf numFmtId="0" fontId="46" fillId="28" borderId="23" xfId="0" applyFont="1" applyFill="1" applyBorder="1" applyAlignment="1">
      <alignment horizontal="center" vertical="center" wrapText="1"/>
    </xf>
    <xf numFmtId="0" fontId="46" fillId="28" borderId="76" xfId="0" applyFont="1" applyFill="1" applyBorder="1" applyAlignment="1">
      <alignment horizontal="left" vertical="center" wrapText="1"/>
    </xf>
    <xf numFmtId="0" fontId="46" fillId="28" borderId="77" xfId="0" applyFont="1" applyFill="1" applyBorder="1" applyAlignment="1">
      <alignment horizontal="left" vertical="center" wrapText="1"/>
    </xf>
    <xf numFmtId="0" fontId="29" fillId="13" borderId="40" xfId="0" applyFont="1" applyFill="1" applyBorder="1" applyAlignment="1">
      <alignment horizontal="center" vertical="center"/>
    </xf>
    <xf numFmtId="0" fontId="1" fillId="0" borderId="38" xfId="0" applyFont="1" applyBorder="1"/>
    <xf numFmtId="0" fontId="1" fillId="0" borderId="41" xfId="0" applyFont="1" applyBorder="1"/>
    <xf numFmtId="0" fontId="30" fillId="0" borderId="42" xfId="0" applyFont="1" applyBorder="1" applyAlignment="1">
      <alignment horizontal="center" vertical="center" textRotation="90"/>
    </xf>
    <xf numFmtId="0" fontId="1" fillId="0" borderId="44" xfId="0" applyFont="1" applyBorder="1"/>
    <xf numFmtId="0" fontId="1" fillId="0" borderId="46" xfId="0" applyFont="1" applyBorder="1"/>
    <xf numFmtId="0" fontId="30" fillId="0" borderId="47" xfId="0" applyFont="1" applyBorder="1" applyAlignment="1">
      <alignment horizontal="center" vertical="center"/>
    </xf>
    <xf numFmtId="0" fontId="1" fillId="0" borderId="48" xfId="0" applyFont="1" applyBorder="1"/>
    <xf numFmtId="0" fontId="1" fillId="0" borderId="49" xfId="0" applyFont="1" applyBorder="1"/>
    <xf numFmtId="0" fontId="31" fillId="19" borderId="53" xfId="0" applyFont="1" applyFill="1" applyBorder="1" applyAlignment="1">
      <alignment horizontal="center" vertical="center" wrapText="1"/>
    </xf>
    <xf numFmtId="0" fontId="1" fillId="0" borderId="29" xfId="0" applyFont="1" applyBorder="1"/>
    <xf numFmtId="0" fontId="32" fillId="0" borderId="57" xfId="0" applyFont="1" applyBorder="1" applyAlignment="1">
      <alignment horizontal="left" vertical="center" wrapText="1"/>
    </xf>
    <xf numFmtId="0" fontId="1" fillId="0" borderId="56" xfId="0" applyFont="1" applyBorder="1"/>
    <xf numFmtId="0" fontId="32" fillId="0" borderId="48" xfId="0" applyFont="1" applyBorder="1" applyAlignment="1">
      <alignment horizontal="left" vertical="center" wrapText="1"/>
    </xf>
    <xf numFmtId="0" fontId="1" fillId="0" borderId="60" xfId="0" applyFont="1" applyBorder="1"/>
    <xf numFmtId="0" fontId="11" fillId="0" borderId="48" xfId="0" applyFont="1" applyBorder="1" applyAlignment="1">
      <alignment horizontal="left" vertical="center" wrapText="1"/>
    </xf>
    <xf numFmtId="0" fontId="11" fillId="0" borderId="64" xfId="0" applyFont="1" applyBorder="1" applyAlignment="1">
      <alignment horizontal="left" vertical="center" wrapText="1"/>
    </xf>
    <xf numFmtId="0" fontId="1" fillId="0" borderId="63" xfId="0" applyFont="1" applyBorder="1"/>
    <xf numFmtId="0" fontId="33" fillId="5" borderId="40" xfId="0" applyFont="1" applyFill="1" applyBorder="1" applyAlignment="1">
      <alignment horizontal="center" vertical="center"/>
    </xf>
    <xf numFmtId="0" fontId="29" fillId="12" borderId="47" xfId="0" applyFont="1" applyFill="1" applyBorder="1" applyAlignment="1">
      <alignment horizontal="center" vertical="center"/>
    </xf>
    <xf numFmtId="0" fontId="30" fillId="18" borderId="47" xfId="0" applyFont="1" applyFill="1" applyBorder="1" applyAlignment="1">
      <alignment horizontal="center" vertical="center"/>
    </xf>
    <xf numFmtId="0" fontId="11" fillId="0" borderId="47" xfId="0" applyFont="1" applyBorder="1" applyAlignment="1">
      <alignment horizontal="center" vertical="center" wrapText="1"/>
    </xf>
    <xf numFmtId="0" fontId="29" fillId="16" borderId="47" xfId="0" applyFont="1" applyFill="1" applyBorder="1" applyAlignment="1">
      <alignment horizontal="center" vertical="center"/>
    </xf>
    <xf numFmtId="0" fontId="30" fillId="15" borderId="47" xfId="0" applyFont="1" applyFill="1" applyBorder="1" applyAlignment="1">
      <alignment horizontal="center" vertical="center"/>
    </xf>
    <xf numFmtId="0" fontId="30" fillId="17" borderId="47" xfId="0" applyFont="1" applyFill="1" applyBorder="1" applyAlignment="1">
      <alignment horizontal="center" vertical="center"/>
    </xf>
    <xf numFmtId="0" fontId="34" fillId="7" borderId="27" xfId="0" applyFont="1" applyFill="1" applyBorder="1" applyAlignment="1">
      <alignment horizontal="center" vertical="center"/>
    </xf>
    <xf numFmtId="0" fontId="1" fillId="0" borderId="28" xfId="0" applyFont="1" applyBorder="1"/>
    <xf numFmtId="0" fontId="0" fillId="28" borderId="0" xfId="0" applyFill="1"/>
    <xf numFmtId="0" fontId="1" fillId="28" borderId="49" xfId="0" applyFont="1" applyFill="1" applyBorder="1"/>
    <xf numFmtId="0" fontId="1" fillId="28" borderId="48" xfId="0" applyFont="1" applyFill="1" applyBorder="1"/>
    <xf numFmtId="0" fontId="11" fillId="28" borderId="0" xfId="0" applyFont="1" applyFill="1" applyAlignment="1">
      <alignment vertical="center"/>
    </xf>
    <xf numFmtId="0" fontId="59" fillId="0" borderId="49" xfId="0" applyFont="1" applyBorder="1"/>
    <xf numFmtId="0" fontId="58" fillId="34" borderId="47" xfId="0" applyFont="1" applyFill="1" applyBorder="1" applyAlignment="1">
      <alignment horizontal="center" vertical="center"/>
    </xf>
    <xf numFmtId="0" fontId="58" fillId="16" borderId="47" xfId="0" applyFont="1" applyFill="1" applyBorder="1" applyAlignment="1">
      <alignment horizontal="center" vertical="center"/>
    </xf>
    <xf numFmtId="0" fontId="58" fillId="18" borderId="47" xfId="0" applyFont="1" applyFill="1" applyBorder="1" applyAlignment="1">
      <alignment horizontal="center" vertical="center"/>
    </xf>
    <xf numFmtId="0" fontId="58" fillId="33" borderId="47" xfId="0" applyFont="1" applyFill="1" applyBorder="1" applyAlignment="1">
      <alignment horizontal="center" vertical="center"/>
    </xf>
    <xf numFmtId="0" fontId="1" fillId="35" borderId="49" xfId="0" applyFont="1" applyFill="1" applyBorder="1"/>
    <xf numFmtId="0" fontId="58" fillId="36" borderId="47" xfId="0" applyFont="1" applyFill="1" applyBorder="1" applyAlignment="1">
      <alignment horizontal="center" vertical="center"/>
    </xf>
    <xf numFmtId="0" fontId="1" fillId="37" borderId="49" xfId="0" applyFont="1" applyFill="1" applyBorder="1"/>
    <xf numFmtId="0" fontId="1" fillId="0" borderId="47" xfId="0" applyFont="1" applyBorder="1" applyAlignment="1">
      <alignment horizontal="center" vertical="center" wrapText="1"/>
    </xf>
  </cellXfs>
  <cellStyles count="1">
    <cellStyle name="Normal" xfId="0" builtinId="0"/>
  </cellStyles>
  <dxfs count="36">
    <dxf>
      <fill>
        <patternFill patternType="solid">
          <fgColor rgb="FFFFFF00"/>
          <bgColor rgb="FFFFFF00"/>
        </patternFill>
      </fill>
    </dxf>
    <dxf>
      <fill>
        <patternFill patternType="solid">
          <fgColor rgb="FF548135"/>
          <bgColor rgb="FF548135"/>
        </patternFill>
      </fill>
    </dxf>
    <dxf>
      <fill>
        <patternFill patternType="solid">
          <fgColor rgb="FFCE7270"/>
          <bgColor rgb="FFCE7270"/>
        </patternFill>
      </fill>
    </dxf>
    <dxf>
      <fill>
        <patternFill patternType="solid">
          <fgColor rgb="FFFF0000"/>
          <bgColor rgb="FFFF0000"/>
        </patternFill>
      </fill>
    </dxf>
    <dxf>
      <font>
        <b/>
        <color rgb="FF4FA60E"/>
      </font>
      <fill>
        <patternFill patternType="solid">
          <fgColor theme="0"/>
          <bgColor theme="0"/>
        </patternFill>
      </fill>
    </dxf>
    <dxf>
      <font>
        <b/>
        <color rgb="FFFF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6600"/>
          <bgColor rgb="FFFF66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6600"/>
          <bgColor rgb="FFFFFF00"/>
        </patternFill>
      </fill>
    </dxf>
    <dxf>
      <fill>
        <patternFill patternType="solid">
          <fgColor rgb="FFFFFF00"/>
          <bgColor rgb="FF00B0F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548135"/>
          <bgColor rgb="FF548135"/>
        </patternFill>
      </fill>
    </dxf>
    <dxf>
      <fill>
        <patternFill patternType="solid">
          <fgColor rgb="FFCE7270"/>
          <bgColor rgb="FFCE7270"/>
        </patternFill>
      </fill>
    </dxf>
    <dxf>
      <fill>
        <patternFill patternType="solid">
          <fgColor rgb="FFFF0000"/>
          <bgColor rgb="FFFF0000"/>
        </patternFill>
      </fill>
    </dxf>
    <dxf>
      <font>
        <b/>
        <color rgb="FF4FA60E"/>
      </font>
      <fill>
        <patternFill patternType="solid">
          <fgColor theme="0"/>
          <bgColor theme="0"/>
        </patternFill>
      </fill>
    </dxf>
    <dxf>
      <font>
        <b/>
        <color rgb="FFFF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548135"/>
          <bgColor rgb="FF548135"/>
        </patternFill>
      </fill>
    </dxf>
    <dxf>
      <fill>
        <patternFill patternType="solid">
          <fgColor rgb="FFCE7270"/>
          <bgColor rgb="FFCE7270"/>
        </patternFill>
      </fill>
    </dxf>
    <dxf>
      <fill>
        <patternFill patternType="solid">
          <fgColor rgb="FFFF0000"/>
          <bgColor rgb="FFFF0000"/>
        </patternFill>
      </fill>
    </dxf>
    <dxf>
      <font>
        <b/>
        <color rgb="FF4FA60E"/>
      </font>
      <fill>
        <patternFill patternType="solid">
          <fgColor theme="0"/>
          <bgColor theme="0"/>
        </patternFill>
      </fill>
    </dxf>
    <dxf>
      <font>
        <b/>
        <color rgb="FFFF0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6600"/>
          <bgColor rgb="FFFF6600"/>
        </patternFill>
      </fill>
    </dxf>
    <dxf>
      <fill>
        <patternFill patternType="solid">
          <fgColor rgb="FF00FF00"/>
          <bgColor rgb="FF00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762000</xdr:colOff>
      <xdr:row>0</xdr:row>
      <xdr:rowOff>152400</xdr:rowOff>
    </xdr:from>
    <xdr:ext cx="4743450" cy="11620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397580" y="3089005"/>
          <a:ext cx="5896840" cy="1381991"/>
        </a:xfrm>
        <a:prstGeom prst="roundRect">
          <a:avLst>
            <a:gd name="adj" fmla="val 22199"/>
          </a:avLst>
        </a:pr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0" tIns="0" rIns="0" bIns="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Arial"/>
            <a:buNone/>
          </a:pPr>
          <a:r>
            <a:rPr lang="en-US" sz="3000" b="0" i="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Código: </a:t>
          </a:r>
          <a:r>
            <a:rPr lang="en-US" sz="3000" b="0" i="0" strike="noStrike">
              <a:solidFill>
                <a:srgbClr val="000000"/>
              </a:solidFill>
              <a:latin typeface="Tahoma"/>
              <a:ea typeface="Tahoma"/>
              <a:cs typeface="Tahoma"/>
              <a:sym typeface="Tahoma"/>
            </a:rPr>
            <a:t>MGTRIS</a:t>
          </a:r>
          <a:r>
            <a:rPr lang="en-US" sz="3000" b="0" i="0">
              <a:solidFill>
                <a:srgbClr val="000000"/>
              </a:solidFill>
              <a:latin typeface="Tahoma"/>
              <a:ea typeface="Tahoma"/>
              <a:cs typeface="Tahoma"/>
              <a:sym typeface="Tahoma"/>
            </a:rPr>
            <a:t>-DOC-SST-IPERC-001</a:t>
          </a:r>
          <a:endParaRPr sz="3000" b="0" i="0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24</xdr:col>
      <xdr:colOff>762000</xdr:colOff>
      <xdr:row>1</xdr:row>
      <xdr:rowOff>504825</xdr:rowOff>
    </xdr:from>
    <xdr:ext cx="4743450" cy="1028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2421794" y="3157700"/>
          <a:ext cx="5848413" cy="1244601"/>
        </a:xfrm>
        <a:prstGeom prst="roundRect">
          <a:avLst>
            <a:gd name="adj" fmla="val 22199"/>
          </a:avLst>
        </a:pr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0" tIns="0" rIns="0" bIns="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Arial"/>
            <a:buNone/>
          </a:pPr>
          <a:r>
            <a:rPr lang="en-US" sz="3200" b="0" i="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Revisión: 01</a:t>
          </a:r>
          <a:endParaRPr sz="3200" b="0" i="0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3</xdr:col>
      <xdr:colOff>457200</xdr:colOff>
      <xdr:row>98</xdr:row>
      <xdr:rowOff>504825</xdr:rowOff>
    </xdr:from>
    <xdr:ext cx="10153650" cy="5219700"/>
    <xdr:pic>
      <xdr:nvPicPr>
        <xdr:cNvPr id="2" name="image2.pn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7</xdr:col>
      <xdr:colOff>4819650</xdr:colOff>
      <xdr:row>92</xdr:row>
      <xdr:rowOff>4762501</xdr:rowOff>
    </xdr:from>
    <xdr:to>
      <xdr:col>9</xdr:col>
      <xdr:colOff>1730777</xdr:colOff>
      <xdr:row>111</xdr:row>
      <xdr:rowOff>38101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424CE6-C6A2-75D1-B0CA-58C4B3450E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17600" y="135731251"/>
          <a:ext cx="7814515" cy="7924800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857250</xdr:colOff>
      <xdr:row>97</xdr:row>
      <xdr:rowOff>285750</xdr:rowOff>
    </xdr:from>
    <xdr:to>
      <xdr:col>1</xdr:col>
      <xdr:colOff>5245939</xdr:colOff>
      <xdr:row>119</xdr:row>
      <xdr:rowOff>114300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AD538C60-1B60-AE94-2BD5-2ACE930464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53150" y="137198100"/>
          <a:ext cx="4388689" cy="7753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75787B"/>
      </a:dk1>
      <a:lt1>
        <a:srgbClr val="FFFFFF"/>
      </a:lt1>
      <a:dk2>
        <a:srgbClr val="75787B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999FF"/>
    <pageSetUpPr fitToPage="1"/>
  </sheetPr>
  <dimension ref="A1:AF1057"/>
  <sheetViews>
    <sheetView topLeftCell="I16" zoomScale="25" zoomScaleNormal="25" workbookViewId="0">
      <selection activeCell="Q21" sqref="Q21"/>
    </sheetView>
  </sheetViews>
  <sheetFormatPr baseColWidth="10" defaultColWidth="12.7109375" defaultRowHeight="15" customHeight="1" x14ac:dyDescent="0.2"/>
  <cols>
    <col min="1" max="1" width="77.28515625" customWidth="1"/>
    <col min="2" max="2" width="111.5703125" customWidth="1"/>
    <col min="3" max="5" width="16.28515625" customWidth="1"/>
    <col min="6" max="6" width="80.140625" customWidth="1"/>
    <col min="7" max="7" width="37.140625" customWidth="1"/>
    <col min="8" max="8" width="95" customWidth="1"/>
    <col min="9" max="9" width="64.28515625" customWidth="1"/>
    <col min="10" max="11" width="94.140625" customWidth="1"/>
    <col min="12" max="12" width="110.28515625" customWidth="1"/>
    <col min="13" max="13" width="40.85546875" customWidth="1"/>
    <col min="14" max="15" width="25.85546875" customWidth="1"/>
    <col min="16" max="16" width="65.28515625" customWidth="1"/>
    <col min="17" max="17" width="64.7109375" customWidth="1"/>
    <col min="18" max="22" width="65.28515625" customWidth="1"/>
    <col min="23" max="24" width="36.85546875" customWidth="1"/>
    <col min="25" max="25" width="48.85546875" customWidth="1"/>
    <col min="26" max="26" width="87.140625" customWidth="1"/>
    <col min="27" max="27" width="90.140625" customWidth="1"/>
    <col min="28" max="32" width="50.7109375" customWidth="1"/>
  </cols>
  <sheetData>
    <row r="1" spans="1:32" ht="142.15" customHeight="1" x14ac:dyDescent="0.55000000000000004">
      <c r="A1" s="172" t="s">
        <v>0</v>
      </c>
      <c r="B1" s="196">
        <v>46244</v>
      </c>
      <c r="C1" s="185"/>
      <c r="D1" s="197" t="s">
        <v>1</v>
      </c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9"/>
      <c r="Y1" s="204"/>
      <c r="Z1" s="201"/>
      <c r="AA1" s="205"/>
      <c r="AB1" s="1"/>
      <c r="AC1" s="1"/>
      <c r="AD1" s="1"/>
      <c r="AE1" s="1"/>
      <c r="AF1" s="1"/>
    </row>
    <row r="2" spans="1:32" ht="82.5" customHeight="1" x14ac:dyDescent="0.55000000000000004">
      <c r="A2" s="172" t="s">
        <v>2</v>
      </c>
      <c r="B2" s="208" t="s">
        <v>3</v>
      </c>
      <c r="C2" s="185"/>
      <c r="D2" s="200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X2" s="193"/>
      <c r="Y2" s="201"/>
      <c r="Z2" s="201"/>
      <c r="AA2" s="205"/>
      <c r="AB2" s="1"/>
      <c r="AC2" s="1"/>
      <c r="AD2" s="1"/>
      <c r="AE2" s="1"/>
      <c r="AF2" s="1"/>
    </row>
    <row r="3" spans="1:32" ht="82.5" customHeight="1" x14ac:dyDescent="0.55000000000000004">
      <c r="A3" s="172" t="s">
        <v>4</v>
      </c>
      <c r="B3" s="209">
        <v>46245</v>
      </c>
      <c r="C3" s="185"/>
      <c r="D3" s="202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  <c r="R3" s="203"/>
      <c r="S3" s="203"/>
      <c r="T3" s="203"/>
      <c r="U3" s="203"/>
      <c r="V3" s="203"/>
      <c r="W3" s="203"/>
      <c r="X3" s="195"/>
      <c r="Y3" s="206"/>
      <c r="Z3" s="206"/>
      <c r="AA3" s="207"/>
      <c r="AB3" s="1"/>
      <c r="AC3" s="1"/>
      <c r="AD3" s="1"/>
      <c r="AE3" s="1"/>
      <c r="AF3" s="1"/>
    </row>
    <row r="4" spans="1:32" ht="51" customHeight="1" x14ac:dyDescent="0.55000000000000004">
      <c r="A4" s="183"/>
      <c r="B4" s="184"/>
      <c r="C4" s="184"/>
      <c r="D4" s="184"/>
      <c r="E4" s="184"/>
      <c r="F4" s="184"/>
      <c r="G4" s="184"/>
      <c r="H4" s="184"/>
      <c r="I4" s="184"/>
      <c r="J4" s="184"/>
      <c r="K4" s="184"/>
      <c r="L4" s="184"/>
      <c r="M4" s="184"/>
      <c r="N4" s="184"/>
      <c r="O4" s="184"/>
      <c r="P4" s="184"/>
      <c r="Q4" s="184"/>
      <c r="R4" s="184"/>
      <c r="S4" s="184"/>
      <c r="T4" s="184"/>
      <c r="U4" s="184"/>
      <c r="V4" s="184"/>
      <c r="W4" s="184"/>
      <c r="X4" s="184"/>
      <c r="Y4" s="184"/>
      <c r="Z4" s="184"/>
      <c r="AA4" s="185"/>
      <c r="AB4" s="1"/>
      <c r="AC4" s="1"/>
      <c r="AD4" s="1"/>
      <c r="AE4" s="1"/>
      <c r="AF4" s="1"/>
    </row>
    <row r="5" spans="1:32" ht="51" customHeight="1" x14ac:dyDescent="0.55000000000000004">
      <c r="A5" s="172" t="s">
        <v>5</v>
      </c>
      <c r="B5" s="186" t="s">
        <v>6</v>
      </c>
      <c r="C5" s="184"/>
      <c r="D5" s="184"/>
      <c r="E5" s="184"/>
      <c r="F5" s="184"/>
      <c r="G5" s="184"/>
      <c r="H5" s="184"/>
      <c r="I5" s="184"/>
      <c r="J5" s="184"/>
      <c r="K5" s="184"/>
      <c r="L5" s="184"/>
      <c r="M5" s="184"/>
      <c r="N5" s="184"/>
      <c r="O5" s="184"/>
      <c r="P5" s="185"/>
      <c r="Q5" s="189" t="s">
        <v>7</v>
      </c>
      <c r="R5" s="185"/>
      <c r="S5" s="186">
        <v>20537497557</v>
      </c>
      <c r="T5" s="184"/>
      <c r="U5" s="184"/>
      <c r="V5" s="184"/>
      <c r="W5" s="184"/>
      <c r="X5" s="184"/>
      <c r="Y5" s="184"/>
      <c r="Z5" s="184"/>
      <c r="AA5" s="185"/>
      <c r="AB5" s="1"/>
      <c r="AC5" s="1"/>
      <c r="AD5" s="1"/>
      <c r="AE5" s="1"/>
      <c r="AF5" s="1"/>
    </row>
    <row r="6" spans="1:32" ht="51" customHeight="1" x14ac:dyDescent="0.55000000000000004">
      <c r="A6" s="172" t="s">
        <v>8</v>
      </c>
      <c r="B6" s="188" t="s">
        <v>901</v>
      </c>
      <c r="C6" s="184"/>
      <c r="D6" s="184"/>
      <c r="E6" s="184"/>
      <c r="F6" s="184"/>
      <c r="G6" s="184"/>
      <c r="H6" s="184"/>
      <c r="I6" s="184"/>
      <c r="J6" s="184"/>
      <c r="K6" s="184"/>
      <c r="L6" s="184"/>
      <c r="M6" s="184"/>
      <c r="N6" s="184"/>
      <c r="O6" s="184"/>
      <c r="P6" s="185"/>
      <c r="Q6" s="189" t="s">
        <v>9</v>
      </c>
      <c r="R6" s="185"/>
      <c r="S6" s="186" t="s">
        <v>10</v>
      </c>
      <c r="T6" s="184"/>
      <c r="U6" s="184"/>
      <c r="V6" s="184"/>
      <c r="W6" s="184"/>
      <c r="X6" s="184"/>
      <c r="Y6" s="184"/>
      <c r="Z6" s="184"/>
      <c r="AA6" s="185"/>
      <c r="AB6" s="1"/>
      <c r="AC6" s="1"/>
      <c r="AD6" s="1"/>
      <c r="AE6" s="1"/>
      <c r="AF6" s="1"/>
    </row>
    <row r="7" spans="1:32" ht="51" customHeight="1" x14ac:dyDescent="0.55000000000000004">
      <c r="A7" s="183" t="s">
        <v>11</v>
      </c>
      <c r="B7" s="184"/>
      <c r="C7" s="184"/>
      <c r="D7" s="184"/>
      <c r="E7" s="184"/>
      <c r="F7" s="184"/>
      <c r="G7" s="184"/>
      <c r="H7" s="184"/>
      <c r="I7" s="184"/>
      <c r="J7" s="184"/>
      <c r="K7" s="184"/>
      <c r="L7" s="184"/>
      <c r="M7" s="184"/>
      <c r="N7" s="184"/>
      <c r="O7" s="184"/>
      <c r="P7" s="184"/>
      <c r="Q7" s="184"/>
      <c r="R7" s="184"/>
      <c r="S7" s="184"/>
      <c r="T7" s="184"/>
      <c r="U7" s="184"/>
      <c r="V7" s="184"/>
      <c r="W7" s="184"/>
      <c r="X7" s="184"/>
      <c r="Y7" s="184"/>
      <c r="Z7" s="184"/>
      <c r="AA7" s="185"/>
      <c r="AB7" s="1"/>
      <c r="AC7" s="1"/>
      <c r="AD7" s="1"/>
      <c r="AE7" s="1"/>
      <c r="AF7" s="1"/>
    </row>
    <row r="8" spans="1:32" ht="93.6" customHeight="1" x14ac:dyDescent="0.55000000000000004">
      <c r="A8" s="172" t="s">
        <v>12</v>
      </c>
      <c r="B8" s="187" t="s">
        <v>1056</v>
      </c>
      <c r="C8" s="184"/>
      <c r="D8" s="184"/>
      <c r="E8" s="184"/>
      <c r="F8" s="184"/>
      <c r="G8" s="184"/>
      <c r="H8" s="184"/>
      <c r="I8" s="184"/>
      <c r="J8" s="184"/>
      <c r="K8" s="184"/>
      <c r="L8" s="184"/>
      <c r="M8" s="184"/>
      <c r="N8" s="184"/>
      <c r="O8" s="184"/>
      <c r="P8" s="185"/>
      <c r="Q8" s="190" t="s">
        <v>13</v>
      </c>
      <c r="R8" s="191"/>
      <c r="S8" s="186" t="s">
        <v>14</v>
      </c>
      <c r="T8" s="184"/>
      <c r="U8" s="184"/>
      <c r="V8" s="184"/>
      <c r="W8" s="184"/>
      <c r="X8" s="184"/>
      <c r="Y8" s="184"/>
      <c r="Z8" s="184"/>
      <c r="AA8" s="185"/>
      <c r="AB8" s="1"/>
      <c r="AC8" s="1"/>
      <c r="AD8" s="1"/>
      <c r="AE8" s="1"/>
      <c r="AF8" s="1"/>
    </row>
    <row r="9" spans="1:32" ht="93.6" customHeight="1" x14ac:dyDescent="0.55000000000000004">
      <c r="A9" s="172" t="s">
        <v>15</v>
      </c>
      <c r="B9" s="187" t="s">
        <v>902</v>
      </c>
      <c r="C9" s="184"/>
      <c r="D9" s="184"/>
      <c r="E9" s="184"/>
      <c r="F9" s="184"/>
      <c r="G9" s="184"/>
      <c r="H9" s="184"/>
      <c r="I9" s="184"/>
      <c r="J9" s="184"/>
      <c r="K9" s="184"/>
      <c r="L9" s="184"/>
      <c r="M9" s="184"/>
      <c r="N9" s="184"/>
      <c r="O9" s="184"/>
      <c r="P9" s="185"/>
      <c r="Q9" s="192"/>
      <c r="R9" s="193"/>
      <c r="S9" s="186" t="s">
        <v>16</v>
      </c>
      <c r="T9" s="184"/>
      <c r="U9" s="184"/>
      <c r="V9" s="184"/>
      <c r="W9" s="184"/>
      <c r="X9" s="184"/>
      <c r="Y9" s="184"/>
      <c r="Z9" s="184"/>
      <c r="AA9" s="185"/>
      <c r="AB9" s="1"/>
      <c r="AC9" s="1"/>
      <c r="AD9" s="1"/>
      <c r="AE9" s="1"/>
      <c r="AF9" s="1"/>
    </row>
    <row r="10" spans="1:32" ht="93.6" customHeight="1" x14ac:dyDescent="0.55000000000000004">
      <c r="A10" s="172" t="s">
        <v>17</v>
      </c>
      <c r="B10" s="187" t="s">
        <v>1057</v>
      </c>
      <c r="C10" s="184"/>
      <c r="D10" s="184"/>
      <c r="E10" s="184"/>
      <c r="F10" s="184"/>
      <c r="G10" s="184"/>
      <c r="H10" s="184"/>
      <c r="I10" s="184"/>
      <c r="J10" s="184"/>
      <c r="K10" s="184"/>
      <c r="L10" s="184"/>
      <c r="M10" s="184"/>
      <c r="N10" s="184"/>
      <c r="O10" s="184"/>
      <c r="P10" s="185"/>
      <c r="Q10" s="194"/>
      <c r="R10" s="195"/>
      <c r="S10" s="186" t="s">
        <v>1059</v>
      </c>
      <c r="T10" s="184"/>
      <c r="U10" s="184"/>
      <c r="V10" s="184"/>
      <c r="W10" s="184"/>
      <c r="X10" s="184"/>
      <c r="Y10" s="184"/>
      <c r="Z10" s="184"/>
      <c r="AA10" s="185"/>
      <c r="AB10" s="1"/>
      <c r="AC10" s="1"/>
      <c r="AD10" s="1"/>
      <c r="AE10" s="1"/>
      <c r="AF10" s="1"/>
    </row>
    <row r="11" spans="1:32" ht="51" customHeight="1" x14ac:dyDescent="0.55000000000000004">
      <c r="A11" s="183" t="s">
        <v>18</v>
      </c>
      <c r="B11" s="184"/>
      <c r="C11" s="184"/>
      <c r="D11" s="184"/>
      <c r="E11" s="184"/>
      <c r="F11" s="184"/>
      <c r="G11" s="184"/>
      <c r="H11" s="184"/>
      <c r="I11" s="184"/>
      <c r="J11" s="184"/>
      <c r="K11" s="184"/>
      <c r="L11" s="184"/>
      <c r="M11" s="184"/>
      <c r="N11" s="184"/>
      <c r="O11" s="184"/>
      <c r="P11" s="184"/>
      <c r="Q11" s="184"/>
      <c r="R11" s="184"/>
      <c r="S11" s="184"/>
      <c r="T11" s="184"/>
      <c r="U11" s="184"/>
      <c r="V11" s="184"/>
      <c r="W11" s="184"/>
      <c r="X11" s="184"/>
      <c r="Y11" s="184"/>
      <c r="Z11" s="184"/>
      <c r="AA11" s="185"/>
      <c r="AB11" s="1"/>
      <c r="AC11" s="1"/>
      <c r="AD11" s="1"/>
      <c r="AE11" s="1"/>
      <c r="AF11" s="1"/>
    </row>
    <row r="12" spans="1:32" ht="88.9" customHeight="1" x14ac:dyDescent="0.55000000000000004">
      <c r="A12" s="173" t="s">
        <v>19</v>
      </c>
      <c r="B12" s="229" t="s">
        <v>20</v>
      </c>
      <c r="C12" s="184"/>
      <c r="D12" s="184"/>
      <c r="E12" s="184"/>
      <c r="F12" s="185"/>
      <c r="G12" s="174"/>
      <c r="H12" s="230" t="s">
        <v>21</v>
      </c>
      <c r="I12" s="185"/>
      <c r="J12" s="229" t="s">
        <v>20</v>
      </c>
      <c r="K12" s="185"/>
      <c r="L12" s="173" t="s">
        <v>22</v>
      </c>
      <c r="M12" s="231" t="s">
        <v>20</v>
      </c>
      <c r="N12" s="184"/>
      <c r="O12" s="184"/>
      <c r="P12" s="185"/>
      <c r="Q12" s="230" t="s">
        <v>23</v>
      </c>
      <c r="R12" s="185"/>
      <c r="S12" s="187">
        <v>0</v>
      </c>
      <c r="T12" s="184"/>
      <c r="U12" s="185"/>
      <c r="V12" s="174"/>
      <c r="W12" s="227" t="s">
        <v>24</v>
      </c>
      <c r="X12" s="184"/>
      <c r="Y12" s="185"/>
      <c r="Z12" s="228" t="s">
        <v>25</v>
      </c>
      <c r="AA12" s="185"/>
      <c r="AB12" s="1"/>
      <c r="AC12" s="1"/>
      <c r="AD12" s="1"/>
      <c r="AE12" s="1"/>
      <c r="AF12" s="1"/>
    </row>
    <row r="13" spans="1:32" ht="51" customHeight="1" thickTop="1" thickBot="1" x14ac:dyDescent="0.45">
      <c r="A13" s="2"/>
      <c r="B13" s="3"/>
      <c r="C13" s="3"/>
      <c r="D13" s="3"/>
      <c r="E13" s="3"/>
      <c r="F13" s="3"/>
      <c r="G13" s="3"/>
      <c r="H13" s="4"/>
      <c r="I13" s="5"/>
      <c r="J13" s="5"/>
      <c r="K13" s="5"/>
      <c r="L13" s="6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8"/>
      <c r="AB13" s="9"/>
      <c r="AC13" s="9"/>
      <c r="AD13" s="9"/>
      <c r="AE13" s="9"/>
      <c r="AF13" s="9"/>
    </row>
    <row r="14" spans="1:32" ht="51" customHeight="1" thickTop="1" thickBot="1" x14ac:dyDescent="0.45">
      <c r="A14" s="223" t="s">
        <v>26</v>
      </c>
      <c r="B14" s="225" t="s">
        <v>27</v>
      </c>
      <c r="C14" s="214" t="s">
        <v>28</v>
      </c>
      <c r="D14" s="213"/>
      <c r="E14" s="213"/>
      <c r="F14" s="212" t="s">
        <v>29</v>
      </c>
      <c r="G14" s="215" t="s">
        <v>30</v>
      </c>
      <c r="H14" s="212" t="s">
        <v>31</v>
      </c>
      <c r="I14" s="252"/>
      <c r="J14" s="213"/>
      <c r="K14" s="213"/>
      <c r="L14" s="213"/>
      <c r="M14" s="215" t="s">
        <v>32</v>
      </c>
      <c r="N14" s="234"/>
      <c r="O14" s="213"/>
      <c r="P14" s="213"/>
      <c r="Q14" s="236" t="s">
        <v>33</v>
      </c>
      <c r="R14" s="214" t="s">
        <v>34</v>
      </c>
      <c r="S14" s="213"/>
      <c r="T14" s="213"/>
      <c r="U14" s="213"/>
      <c r="V14" s="213"/>
      <c r="W14" s="234"/>
      <c r="X14" s="213"/>
      <c r="Y14" s="213"/>
      <c r="Z14" s="238" t="s">
        <v>33</v>
      </c>
      <c r="AA14" s="241" t="s">
        <v>35</v>
      </c>
      <c r="AB14" s="1"/>
      <c r="AC14" s="1"/>
      <c r="AD14" s="1"/>
      <c r="AE14" s="1"/>
      <c r="AF14" s="1"/>
    </row>
    <row r="15" spans="1:32" ht="109.15" customHeight="1" thickTop="1" thickBot="1" x14ac:dyDescent="0.45">
      <c r="A15" s="224"/>
      <c r="B15" s="226"/>
      <c r="C15" s="213"/>
      <c r="D15" s="213"/>
      <c r="E15" s="213"/>
      <c r="F15" s="213"/>
      <c r="G15" s="213"/>
      <c r="H15" s="213"/>
      <c r="I15" s="251" t="s">
        <v>36</v>
      </c>
      <c r="J15" s="251" t="s">
        <v>37</v>
      </c>
      <c r="K15" s="235" t="s">
        <v>38</v>
      </c>
      <c r="L15" s="213"/>
      <c r="M15" s="213"/>
      <c r="N15" s="235" t="s">
        <v>39</v>
      </c>
      <c r="O15" s="213"/>
      <c r="P15" s="213"/>
      <c r="Q15" s="213"/>
      <c r="R15" s="213"/>
      <c r="S15" s="213"/>
      <c r="T15" s="213"/>
      <c r="U15" s="213"/>
      <c r="V15" s="213"/>
      <c r="W15" s="236" t="s">
        <v>39</v>
      </c>
      <c r="X15" s="213"/>
      <c r="Y15" s="213"/>
      <c r="Z15" s="239"/>
      <c r="AA15" s="224"/>
      <c r="AB15" s="1"/>
      <c r="AC15" s="1"/>
      <c r="AD15" s="1"/>
      <c r="AE15" s="1"/>
      <c r="AF15" s="1"/>
    </row>
    <row r="16" spans="1:32" ht="51" customHeight="1" thickTop="1" thickBot="1" x14ac:dyDescent="0.45">
      <c r="A16" s="224"/>
      <c r="B16" s="226"/>
      <c r="C16" s="216" t="s">
        <v>40</v>
      </c>
      <c r="D16" s="216" t="s">
        <v>41</v>
      </c>
      <c r="E16" s="216" t="s">
        <v>42</v>
      </c>
      <c r="F16" s="213"/>
      <c r="G16" s="213"/>
      <c r="H16" s="213"/>
      <c r="I16" s="213"/>
      <c r="J16" s="213"/>
      <c r="K16" s="251" t="s">
        <v>43</v>
      </c>
      <c r="L16" s="251" t="s">
        <v>44</v>
      </c>
      <c r="M16" s="213"/>
      <c r="N16" s="216" t="s">
        <v>45</v>
      </c>
      <c r="O16" s="216" t="s">
        <v>46</v>
      </c>
      <c r="P16" s="237" t="s">
        <v>47</v>
      </c>
      <c r="Q16" s="213"/>
      <c r="R16" s="243" t="s">
        <v>48</v>
      </c>
      <c r="S16" s="213"/>
      <c r="T16" s="110" t="s">
        <v>49</v>
      </c>
      <c r="U16" s="243" t="s">
        <v>50</v>
      </c>
      <c r="V16" s="213"/>
      <c r="W16" s="237" t="s">
        <v>51</v>
      </c>
      <c r="X16" s="237" t="s">
        <v>52</v>
      </c>
      <c r="Y16" s="237" t="s">
        <v>47</v>
      </c>
      <c r="Z16" s="239"/>
      <c r="AA16" s="224"/>
      <c r="AB16" s="1"/>
      <c r="AC16" s="1"/>
      <c r="AD16" s="1"/>
      <c r="AE16" s="1"/>
      <c r="AF16" s="1"/>
    </row>
    <row r="17" spans="1:32" ht="51" customHeight="1" thickTop="1" thickBot="1" x14ac:dyDescent="0.45">
      <c r="A17" s="224"/>
      <c r="B17" s="226"/>
      <c r="C17" s="213"/>
      <c r="D17" s="213"/>
      <c r="E17" s="213"/>
      <c r="F17" s="213"/>
      <c r="G17" s="213"/>
      <c r="H17" s="213"/>
      <c r="I17" s="213"/>
      <c r="J17" s="213"/>
      <c r="K17" s="213"/>
      <c r="L17" s="213"/>
      <c r="M17" s="213"/>
      <c r="N17" s="213"/>
      <c r="O17" s="213"/>
      <c r="P17" s="213"/>
      <c r="Q17" s="213"/>
      <c r="R17" s="237" t="s">
        <v>53</v>
      </c>
      <c r="S17" s="237" t="s">
        <v>54</v>
      </c>
      <c r="T17" s="237" t="s">
        <v>55</v>
      </c>
      <c r="U17" s="237" t="s">
        <v>56</v>
      </c>
      <c r="V17" s="237" t="s">
        <v>57</v>
      </c>
      <c r="W17" s="213"/>
      <c r="X17" s="213"/>
      <c r="Y17" s="213"/>
      <c r="Z17" s="239"/>
      <c r="AA17" s="224"/>
      <c r="AB17" s="1"/>
      <c r="AC17" s="1"/>
      <c r="AD17" s="1"/>
      <c r="AE17" s="1"/>
      <c r="AF17" s="1"/>
    </row>
    <row r="18" spans="1:32" ht="96" customHeight="1" thickTop="1" thickBot="1" x14ac:dyDescent="0.45">
      <c r="A18" s="224"/>
      <c r="B18" s="226"/>
      <c r="C18" s="213"/>
      <c r="D18" s="213"/>
      <c r="E18" s="213"/>
      <c r="F18" s="213"/>
      <c r="G18" s="213"/>
      <c r="H18" s="213"/>
      <c r="I18" s="213"/>
      <c r="J18" s="213"/>
      <c r="K18" s="213"/>
      <c r="L18" s="213"/>
      <c r="M18" s="213"/>
      <c r="N18" s="213"/>
      <c r="O18" s="213"/>
      <c r="P18" s="110" t="s">
        <v>58</v>
      </c>
      <c r="Q18" s="213"/>
      <c r="R18" s="213"/>
      <c r="S18" s="213"/>
      <c r="T18" s="213"/>
      <c r="U18" s="213"/>
      <c r="V18" s="213"/>
      <c r="W18" s="109" t="s">
        <v>59</v>
      </c>
      <c r="X18" s="109" t="s">
        <v>60</v>
      </c>
      <c r="Y18" s="110" t="s">
        <v>58</v>
      </c>
      <c r="Z18" s="240"/>
      <c r="AA18" s="242"/>
      <c r="AB18" s="1"/>
      <c r="AC18" s="1"/>
      <c r="AD18" s="1"/>
      <c r="AE18" s="1"/>
      <c r="AF18" s="1"/>
    </row>
    <row r="19" spans="1:32" s="126" customFormat="1" ht="163.15" customHeight="1" thickTop="1" thickBot="1" x14ac:dyDescent="0.6">
      <c r="A19" s="244" t="s">
        <v>61</v>
      </c>
      <c r="B19" s="232" t="s">
        <v>796</v>
      </c>
      <c r="C19" s="233"/>
      <c r="D19" s="210" t="s">
        <v>62</v>
      </c>
      <c r="E19" s="233"/>
      <c r="F19" s="211" t="s">
        <v>142</v>
      </c>
      <c r="G19" s="210" t="s">
        <v>63</v>
      </c>
      <c r="H19" s="211" t="s">
        <v>811</v>
      </c>
      <c r="I19" s="117" t="s">
        <v>71</v>
      </c>
      <c r="J19" s="117" t="s">
        <v>812</v>
      </c>
      <c r="K19" s="117" t="s">
        <v>813</v>
      </c>
      <c r="L19" s="117" t="s">
        <v>749</v>
      </c>
      <c r="M19" s="117" t="s">
        <v>68</v>
      </c>
      <c r="N19" s="119">
        <v>5</v>
      </c>
      <c r="O19" s="119">
        <v>5</v>
      </c>
      <c r="P19" s="120" t="str">
        <f t="shared" ref="P19" si="0">IF(N19*O19&lt;=5,"BAJO",
IF(N19*O19&lt;=20,"MEDIO",
IF(N19*O19&lt;=50,"ALTO",
IF(N19*O19&lt;=100,"CRITICO","INACEPTABLE"))))</f>
        <v>ALTO</v>
      </c>
      <c r="Q19" s="121" t="str">
        <f t="shared" ref="Q19" si="1">IF(N19*O19&lt;=5,"ACEPTABLE",
IF(N19*O19&lt;=20,"ACEPTABLE CON CONTROL",
IF(N19*O19&lt;=50,"NO ACEPTABLE",
IF(N19*O19&lt;=100,"INACEPTABLE – DETENER ACTIVIDAD",
"INACEPTABLE – DETENER INMEDIATAMENTE"))))</f>
        <v>NO ACEPTABLE</v>
      </c>
      <c r="R19" s="117" t="s">
        <v>854</v>
      </c>
      <c r="S19" s="117"/>
      <c r="T19" s="117" t="s">
        <v>855</v>
      </c>
      <c r="U19" s="117" t="s">
        <v>856</v>
      </c>
      <c r="V19" s="122" t="s">
        <v>200</v>
      </c>
      <c r="W19" s="117">
        <v>2</v>
      </c>
      <c r="X19" s="117">
        <v>5</v>
      </c>
      <c r="Y19" s="120" t="str">
        <f t="array" ref="Y19">IF(W19*X19&lt;=5,"BAJO",
IF(W19*X19,"MEDIO",
IF(N19*P23O23*O19&lt;=50,"ALTO",
IF(N19*O19&lt;=100,"CRITICO","INACEPTABLE"))))</f>
        <v>MEDIO</v>
      </c>
      <c r="Z19" s="123" t="str">
        <f t="shared" ref="Z19" si="2">IF(W19*X19&lt;=5,"ACEPTABLE",
IF(W19*X19&lt;=20,"ACEPTABLE CON CONTROL",
IF(W19*X19&lt;=50,"NO ACEPTABLE",
IF(W19*X19&lt;=100,"INACEPTABLE – DETENER ACTIVIDAD",
"INACEPTABLE – DETENER INMEDIATAMENTE"))))</f>
        <v>ACEPTABLE CON CONTROL</v>
      </c>
      <c r="AA19" s="124" t="s">
        <v>69</v>
      </c>
      <c r="AB19" s="125"/>
      <c r="AC19" s="125"/>
      <c r="AD19" s="125"/>
      <c r="AE19" s="125"/>
      <c r="AF19" s="125"/>
    </row>
    <row r="20" spans="1:32" s="126" customFormat="1" ht="291.60000000000002" customHeight="1" thickTop="1" thickBot="1" x14ac:dyDescent="0.6">
      <c r="A20" s="245"/>
      <c r="B20" s="232"/>
      <c r="C20" s="233"/>
      <c r="D20" s="210"/>
      <c r="E20" s="233"/>
      <c r="F20" s="211"/>
      <c r="G20" s="210"/>
      <c r="H20" s="211"/>
      <c r="I20" s="117" t="s">
        <v>420</v>
      </c>
      <c r="J20" s="117" t="s">
        <v>814</v>
      </c>
      <c r="K20" s="117" t="s">
        <v>815</v>
      </c>
      <c r="L20" s="117" t="s">
        <v>816</v>
      </c>
      <c r="M20" s="117" t="s">
        <v>68</v>
      </c>
      <c r="N20" s="119">
        <v>5</v>
      </c>
      <c r="O20" s="119">
        <v>20</v>
      </c>
      <c r="P20" s="120" t="str">
        <f t="shared" ref="P20" si="3">IF(N20*O20&lt;=5,"BAJO",
IF(N20*O20&lt;=20,"MEDIO",
IF(N20*O20&lt;=50,"ALTO",
IF(N20*O20&lt;=100,"CRITICO","INACEPTABLE"))))</f>
        <v>CRITICO</v>
      </c>
      <c r="Q20" s="121" t="str">
        <f t="shared" ref="Q20" si="4">IF(N20*O20&lt;=5,"ACEPTABLE",
IF(N20*O20&lt;=20,"ACEPTABLE CON CONTROL",
IF(N20*O20&lt;=50,"NO ACEPTABLE",
IF(N20*O20&lt;=100,"INACEPTABLE – DETENER ACTIVIDAD",
"INACEPTABLE – DETENER INMEDIATAMENTE"))))</f>
        <v>INACEPTABLE – DETENER ACTIVIDAD</v>
      </c>
      <c r="R20" s="117" t="s">
        <v>857</v>
      </c>
      <c r="S20" s="117" t="s">
        <v>858</v>
      </c>
      <c r="T20" s="117" t="s">
        <v>859</v>
      </c>
      <c r="U20" s="117" t="s">
        <v>860</v>
      </c>
      <c r="V20" s="122" t="s">
        <v>861</v>
      </c>
      <c r="W20" s="117">
        <v>1</v>
      </c>
      <c r="X20" s="117">
        <v>20</v>
      </c>
      <c r="Y20" s="120" t="str">
        <f t="array" ref="Y20">IF(W20*X20&lt;=5,"BAJO",
IF(W20*X20,"MEDIO",
IF(N20*P23O23*O20&lt;=50,"ALTO",
IF(N20*O20&lt;=100,"CRITICO","INACEPTABLE"))))</f>
        <v>MEDIO</v>
      </c>
      <c r="Z20" s="123" t="str">
        <f t="shared" ref="Z20:Z22" si="5">IF(W20*X20&lt;=5,"ACEPTABLE",
IF(W20*X20&lt;=20,"ACEPTABLE CON CONTROL",
IF(W20*X20&lt;=50,"NO ACEPTABLE",
IF(W20*X20&lt;=100,"INACEPTABLE – DETENER ACTIVIDAD",
"INACEPTABLE – DETENER INMEDIATAMENTE"))))</f>
        <v>ACEPTABLE CON CONTROL</v>
      </c>
      <c r="AA20" s="124" t="s">
        <v>69</v>
      </c>
      <c r="AB20" s="125"/>
      <c r="AC20" s="125"/>
      <c r="AD20" s="125"/>
      <c r="AE20" s="125"/>
      <c r="AF20" s="125"/>
    </row>
    <row r="21" spans="1:32" s="126" customFormat="1" ht="213" customHeight="1" thickTop="1" thickBot="1" x14ac:dyDescent="0.6">
      <c r="A21" s="245"/>
      <c r="B21" s="116" t="s">
        <v>70</v>
      </c>
      <c r="C21" s="117" t="s">
        <v>62</v>
      </c>
      <c r="D21" s="121"/>
      <c r="E21" s="121"/>
      <c r="F21" s="118" t="s">
        <v>1077</v>
      </c>
      <c r="G21" s="117" t="s">
        <v>63</v>
      </c>
      <c r="H21" s="176" t="s">
        <v>1078</v>
      </c>
      <c r="I21" s="117" t="s">
        <v>212</v>
      </c>
      <c r="J21" s="175" t="s">
        <v>1079</v>
      </c>
      <c r="K21" s="175" t="s">
        <v>1080</v>
      </c>
      <c r="L21" s="175" t="s">
        <v>1081</v>
      </c>
      <c r="M21" s="117" t="s">
        <v>68</v>
      </c>
      <c r="N21" s="119">
        <v>2</v>
      </c>
      <c r="O21" s="119">
        <v>5</v>
      </c>
      <c r="P21" s="120" t="str">
        <f t="shared" ref="P21" si="6">IF(N21*O21&lt;=5,"BAJO",
IF(N21*O21&lt;=20,"MEDIO",
IF(N21*O21&lt;=50,"ALTO",
IF(N21*O21&lt;=100,"CRITICO","INACEPTABLE"))))</f>
        <v>MEDIO</v>
      </c>
      <c r="Q21" s="121" t="str">
        <f t="shared" ref="Q21:Q87" si="7">IF(N21*O21&lt;=5,"ACEPTABLE",
IF(N21*O21&lt;=20,"ACEPTABLE CON CONTROL",
IF(N21*O21&lt;=50,"NO ACEPTABLE",
IF(N21*O21&lt;=100,"INACEPTABLE – DETENER ACTIVIDAD",
"INACEPTABLE – DETENER INMEDIATAMENTE"))))</f>
        <v>ACEPTABLE CON CONTROL</v>
      </c>
      <c r="R21" s="117"/>
      <c r="S21" s="117"/>
      <c r="T21" s="117" t="s">
        <v>1082</v>
      </c>
      <c r="U21" s="117" t="s">
        <v>1083</v>
      </c>
      <c r="V21" s="181" t="s">
        <v>1084</v>
      </c>
      <c r="W21" s="117">
        <v>1</v>
      </c>
      <c r="X21" s="117">
        <v>5</v>
      </c>
      <c r="Y21" s="120" t="str">
        <f t="array" ref="Y21">IF(W21*X21&lt;=5,"BAJO",
IF(W21*X21,"MEDIO",
IF(N21*P23O23*O21&lt;=50,"ALTO",
IF(N21*O21&lt;=100,"CRITICO","INACEPTABLE"))))</f>
        <v>BAJO</v>
      </c>
      <c r="Z21" s="123" t="str">
        <f t="shared" si="5"/>
        <v>ACEPTABLE</v>
      </c>
      <c r="AA21" s="124" t="s">
        <v>69</v>
      </c>
      <c r="AB21" s="127"/>
      <c r="AC21" s="127"/>
      <c r="AD21" s="127"/>
      <c r="AE21" s="127"/>
      <c r="AF21" s="127"/>
    </row>
    <row r="22" spans="1:32" s="126" customFormat="1" ht="213" customHeight="1" thickTop="1" thickBot="1" x14ac:dyDescent="0.6">
      <c r="A22" s="245"/>
      <c r="B22" s="115" t="s">
        <v>726</v>
      </c>
      <c r="C22" s="128" t="s">
        <v>62</v>
      </c>
      <c r="D22" s="129"/>
      <c r="E22" s="129"/>
      <c r="F22" s="130" t="s">
        <v>727</v>
      </c>
      <c r="G22" s="131" t="s">
        <v>63</v>
      </c>
      <c r="H22" s="132" t="s">
        <v>810</v>
      </c>
      <c r="I22" s="133" t="s">
        <v>64</v>
      </c>
      <c r="J22" s="133" t="s">
        <v>817</v>
      </c>
      <c r="K22" s="133" t="s">
        <v>235</v>
      </c>
      <c r="L22" s="133" t="s">
        <v>818</v>
      </c>
      <c r="M22" s="133" t="s">
        <v>68</v>
      </c>
      <c r="N22" s="134">
        <v>4</v>
      </c>
      <c r="O22" s="135">
        <v>5</v>
      </c>
      <c r="P22" s="136" t="str">
        <f t="shared" ref="P22:P84" si="8">IF(N22*O22&lt;=5,"BAJO",
IF(N22*O22&lt;=20,"MEDIO",
IF(N22*O22&lt;=50,"ALTO",
IF(N22*O22&lt;=100,"CRITICO","INACEPTABLE"))))</f>
        <v>MEDIO</v>
      </c>
      <c r="Q22" s="137" t="str">
        <f t="shared" ref="Q22:Q84" si="9">IF(N22*O22&lt;=5,"ACEPTABLE",
IF(N22*O22&lt;=20,"ACEPTABLE CON CONTROL",
IF(N22*O22&lt;=50,"NO ACEPTABLE",
IF(N22*O22&lt;=100,"INACEPTABLE – DETENER ACTIVIDAD",
"INACEPTABLE – DETENER INMEDIATAMENTE"))))</f>
        <v>ACEPTABLE CON CONTROL</v>
      </c>
      <c r="R22" s="131"/>
      <c r="S22" s="131" t="s">
        <v>862</v>
      </c>
      <c r="T22" s="131" t="s">
        <v>863</v>
      </c>
      <c r="U22" s="138" t="s">
        <v>864</v>
      </c>
      <c r="V22" s="139" t="s">
        <v>150</v>
      </c>
      <c r="W22" s="140">
        <v>2</v>
      </c>
      <c r="X22" s="131">
        <v>5</v>
      </c>
      <c r="Y22" s="136" t="str">
        <f t="array" ref="Y22">IF(W22*X22&lt;=5,"BAJO",
IF(W22*X22,"MEDIO",
IF(N22*P23O23*O22&lt;=50,"ALTO",
IF(N22*O22&lt;=100,"CRITICO","INACEPTABLE"))))</f>
        <v>MEDIO</v>
      </c>
      <c r="Z22" s="124" t="str">
        <f t="shared" si="5"/>
        <v>ACEPTABLE CON CONTROL</v>
      </c>
      <c r="AA22" s="124" t="s">
        <v>69</v>
      </c>
      <c r="AB22" s="127"/>
      <c r="AC22" s="127"/>
      <c r="AD22" s="127"/>
      <c r="AE22" s="127"/>
      <c r="AF22" s="127"/>
    </row>
    <row r="23" spans="1:32" s="126" customFormat="1" ht="213" customHeight="1" thickTop="1" thickBot="1" x14ac:dyDescent="0.6">
      <c r="A23" s="249"/>
      <c r="B23" s="142" t="s">
        <v>85</v>
      </c>
      <c r="C23" s="143" t="s">
        <v>62</v>
      </c>
      <c r="D23" s="144"/>
      <c r="E23" s="121"/>
      <c r="F23" s="145" t="s">
        <v>86</v>
      </c>
      <c r="G23" s="146" t="s">
        <v>63</v>
      </c>
      <c r="H23" s="147" t="s">
        <v>1062</v>
      </c>
      <c r="I23" s="117" t="s">
        <v>71</v>
      </c>
      <c r="J23" s="117" t="s">
        <v>87</v>
      </c>
      <c r="K23" s="117" t="s">
        <v>1063</v>
      </c>
      <c r="L23" s="117" t="s">
        <v>88</v>
      </c>
      <c r="M23" s="117" t="s">
        <v>68</v>
      </c>
      <c r="N23" s="148">
        <v>3</v>
      </c>
      <c r="O23" s="149">
        <v>20</v>
      </c>
      <c r="P23" s="150" t="str">
        <f t="shared" si="8"/>
        <v>CRITICO</v>
      </c>
      <c r="Q23" s="124" t="str">
        <f t="shared" si="9"/>
        <v>INACEPTABLE – DETENER ACTIVIDAD</v>
      </c>
      <c r="R23" s="146" t="s">
        <v>89</v>
      </c>
      <c r="S23" s="146" t="s">
        <v>89</v>
      </c>
      <c r="T23" s="146" t="s">
        <v>90</v>
      </c>
      <c r="U23" s="151" t="s">
        <v>91</v>
      </c>
      <c r="V23" s="117" t="s">
        <v>92</v>
      </c>
      <c r="W23" s="152">
        <v>2</v>
      </c>
      <c r="X23" s="146">
        <v>10</v>
      </c>
      <c r="Y23" s="150" t="str">
        <f t="array" ref="Y23">IF(W23*X23&lt;=5,"BAJO",
IF(W23*X23,"MEDIO",
IF(N23*P23O23*O23&lt;=50,"ALTO",
IF(N23*O23&lt;=100,"CRITICO","INACEPTABLE"))))</f>
        <v>MEDIO</v>
      </c>
      <c r="Z23" s="124" t="str">
        <f t="shared" ref="Z23:Z87" si="10">IF(W23*X23&lt;=5,"ACEPTABLE",
IF(W23*X23&lt;=20,"ACEPTABLE CON CONTROL",
IF(W23*X23&lt;=50,"NO ACEPTABLE",
IF(W23*X23&lt;=100,"INACEPTABLE – DETENER ACTIVIDAD",
"INACEPTABLE – DETENER INMEDIATAMENTE"))))</f>
        <v>ACEPTABLE CON CONTROL</v>
      </c>
      <c r="AA23" s="124" t="s">
        <v>69</v>
      </c>
      <c r="AB23" s="127"/>
      <c r="AC23" s="127"/>
      <c r="AD23" s="127"/>
      <c r="AE23" s="127"/>
      <c r="AF23" s="127"/>
    </row>
    <row r="24" spans="1:32" s="126" customFormat="1" ht="213" customHeight="1" thickTop="1" thickBot="1" x14ac:dyDescent="0.6">
      <c r="A24" s="249"/>
      <c r="B24" s="121" t="s">
        <v>1064</v>
      </c>
      <c r="C24" s="121" t="s">
        <v>62</v>
      </c>
      <c r="D24" s="144"/>
      <c r="E24" s="121"/>
      <c r="F24" s="145" t="s">
        <v>969</v>
      </c>
      <c r="G24" s="153" t="s">
        <v>63</v>
      </c>
      <c r="H24" s="154" t="s">
        <v>970</v>
      </c>
      <c r="I24" s="117" t="s">
        <v>71</v>
      </c>
      <c r="J24" s="117" t="s">
        <v>971</v>
      </c>
      <c r="K24" s="117" t="s">
        <v>972</v>
      </c>
      <c r="L24" s="117" t="s">
        <v>973</v>
      </c>
      <c r="M24" s="117" t="s">
        <v>68</v>
      </c>
      <c r="N24" s="148">
        <v>4</v>
      </c>
      <c r="O24" s="149">
        <v>5</v>
      </c>
      <c r="P24" s="150" t="str">
        <f t="shared" si="8"/>
        <v>MEDIO</v>
      </c>
      <c r="Q24" s="124" t="str">
        <f t="shared" si="9"/>
        <v>ACEPTABLE CON CONTROL</v>
      </c>
      <c r="R24" s="146"/>
      <c r="S24" s="146"/>
      <c r="T24" s="146" t="s">
        <v>974</v>
      </c>
      <c r="U24" s="151" t="s">
        <v>975</v>
      </c>
      <c r="V24" s="151" t="s">
        <v>976</v>
      </c>
      <c r="W24" s="146">
        <v>3</v>
      </c>
      <c r="X24" s="146">
        <v>5</v>
      </c>
      <c r="Y24" s="150" t="str">
        <f t="array" ref="Y24">IF(W24*X24&lt;=5,"BAJO",
IF(W24*X24,"MEDIO",
IF(N24*P23O23*O24&lt;=50,"ALTO",
IF(N24*O24&lt;=100,"CRITICO","INACEPTABLE"))))</f>
        <v>MEDIO</v>
      </c>
      <c r="Z24" s="124" t="str">
        <f t="shared" si="10"/>
        <v>ACEPTABLE CON CONTROL</v>
      </c>
      <c r="AA24" s="124" t="s">
        <v>69</v>
      </c>
      <c r="AB24" s="127"/>
      <c r="AC24" s="127"/>
      <c r="AD24" s="127"/>
      <c r="AE24" s="127"/>
      <c r="AF24" s="127"/>
    </row>
    <row r="25" spans="1:32" s="126" customFormat="1" ht="213" customHeight="1" thickTop="1" thickBot="1" x14ac:dyDescent="0.6">
      <c r="A25" s="249"/>
      <c r="B25" s="121" t="s">
        <v>1068</v>
      </c>
      <c r="C25" s="121" t="s">
        <v>62</v>
      </c>
      <c r="D25" s="144"/>
      <c r="E25" s="121"/>
      <c r="F25" s="145" t="s">
        <v>977</v>
      </c>
      <c r="G25" s="153" t="s">
        <v>63</v>
      </c>
      <c r="H25" s="154" t="s">
        <v>1025</v>
      </c>
      <c r="I25" s="117" t="s">
        <v>64</v>
      </c>
      <c r="J25" s="117" t="s">
        <v>1026</v>
      </c>
      <c r="K25" s="117" t="s">
        <v>1027</v>
      </c>
      <c r="L25" s="177" t="s">
        <v>1065</v>
      </c>
      <c r="M25" s="117" t="s">
        <v>68</v>
      </c>
      <c r="N25" s="148">
        <v>4</v>
      </c>
      <c r="O25" s="149">
        <v>5</v>
      </c>
      <c r="P25" s="150" t="str">
        <f t="shared" si="8"/>
        <v>MEDIO</v>
      </c>
      <c r="Q25" s="124" t="str">
        <f t="shared" si="9"/>
        <v>ACEPTABLE CON CONTROL</v>
      </c>
      <c r="R25" s="146"/>
      <c r="S25" s="146"/>
      <c r="T25" s="146" t="s">
        <v>1028</v>
      </c>
      <c r="U25" s="146" t="s">
        <v>1029</v>
      </c>
      <c r="V25" s="146" t="s">
        <v>1030</v>
      </c>
      <c r="W25" s="152">
        <v>3</v>
      </c>
      <c r="X25" s="146">
        <v>5</v>
      </c>
      <c r="Y25" s="150" t="str">
        <f t="array" ref="Y25">IF(W25*X25&lt;=5,"BAJO",
IF(W25*X25,"MEDIO",
IF(N25*P23O23*O25&lt;=50,"ALTO",
IF(N25*O25&lt;=100,"CRITICO","INACEPTABLE"))))</f>
        <v>MEDIO</v>
      </c>
      <c r="Z25" s="124" t="str">
        <f t="shared" si="10"/>
        <v>ACEPTABLE CON CONTROL</v>
      </c>
      <c r="AA25" s="124" t="s">
        <v>69</v>
      </c>
      <c r="AB25" s="127"/>
      <c r="AC25" s="127"/>
      <c r="AD25" s="127"/>
      <c r="AE25" s="127"/>
      <c r="AF25" s="127"/>
    </row>
    <row r="26" spans="1:32" s="126" customFormat="1" ht="213" customHeight="1" thickTop="1" thickBot="1" x14ac:dyDescent="0.6">
      <c r="A26" s="249"/>
      <c r="B26" s="121" t="s">
        <v>905</v>
      </c>
      <c r="C26" s="121" t="s">
        <v>62</v>
      </c>
      <c r="D26" s="144"/>
      <c r="E26" s="121"/>
      <c r="F26" s="145" t="s">
        <v>1017</v>
      </c>
      <c r="G26" s="153" t="s">
        <v>63</v>
      </c>
      <c r="H26" s="154" t="s">
        <v>1018</v>
      </c>
      <c r="I26" s="117" t="s">
        <v>71</v>
      </c>
      <c r="J26" s="117" t="s">
        <v>1019</v>
      </c>
      <c r="K26" s="117" t="s">
        <v>1020</v>
      </c>
      <c r="L26" s="117" t="s">
        <v>1021</v>
      </c>
      <c r="M26" s="117" t="s">
        <v>68</v>
      </c>
      <c r="N26" s="148">
        <v>2</v>
      </c>
      <c r="O26" s="149">
        <v>5</v>
      </c>
      <c r="P26" s="150" t="str">
        <f t="shared" si="8"/>
        <v>MEDIO</v>
      </c>
      <c r="Q26" s="124" t="str">
        <f t="shared" si="9"/>
        <v>ACEPTABLE CON CONTROL</v>
      </c>
      <c r="R26" s="146"/>
      <c r="S26" s="146"/>
      <c r="T26" s="146" t="s">
        <v>1022</v>
      </c>
      <c r="U26" s="146" t="s">
        <v>1024</v>
      </c>
      <c r="V26" s="146" t="s">
        <v>1023</v>
      </c>
      <c r="W26" s="152">
        <v>1</v>
      </c>
      <c r="X26" s="146">
        <v>5</v>
      </c>
      <c r="Y26" s="150" t="str">
        <f t="array" ref="Y26">IF(W26*X26&lt;=5,"BAJO",
IF(W26*X26,"MEDIO",
IF(N26*P23O23*O26&lt;=50,"ALTO",
IF(N26*O26&lt;=100,"CRITICO","INACEPTABLE"))))</f>
        <v>BAJO</v>
      </c>
      <c r="Z26" s="124" t="str">
        <f t="shared" si="10"/>
        <v>ACEPTABLE</v>
      </c>
      <c r="AA26" s="124" t="s">
        <v>69</v>
      </c>
      <c r="AB26" s="127"/>
      <c r="AC26" s="127"/>
      <c r="AD26" s="127"/>
      <c r="AE26" s="127"/>
      <c r="AF26" s="127"/>
    </row>
    <row r="27" spans="1:32" s="126" customFormat="1" ht="213" customHeight="1" thickTop="1" thickBot="1" x14ac:dyDescent="0.6">
      <c r="A27" s="249"/>
      <c r="B27" s="121" t="s">
        <v>903</v>
      </c>
      <c r="C27" s="121" t="s">
        <v>62</v>
      </c>
      <c r="D27" s="144"/>
      <c r="E27" s="121"/>
      <c r="F27" s="145" t="s">
        <v>1009</v>
      </c>
      <c r="G27" s="153" t="s">
        <v>63</v>
      </c>
      <c r="H27" s="154" t="s">
        <v>1010</v>
      </c>
      <c r="I27" s="117" t="s">
        <v>64</v>
      </c>
      <c r="J27" s="117" t="s">
        <v>1011</v>
      </c>
      <c r="K27" s="117" t="s">
        <v>1012</v>
      </c>
      <c r="L27" s="117" t="s">
        <v>1013</v>
      </c>
      <c r="M27" s="117" t="s">
        <v>68</v>
      </c>
      <c r="N27" s="148">
        <v>2</v>
      </c>
      <c r="O27" s="149">
        <v>5</v>
      </c>
      <c r="P27" s="150" t="str">
        <f t="shared" si="8"/>
        <v>MEDIO</v>
      </c>
      <c r="Q27" s="124" t="str">
        <f t="shared" si="9"/>
        <v>ACEPTABLE CON CONTROL</v>
      </c>
      <c r="R27" s="146"/>
      <c r="S27" s="146"/>
      <c r="T27" s="146" t="s">
        <v>1014</v>
      </c>
      <c r="U27" s="146" t="s">
        <v>1015</v>
      </c>
      <c r="V27" s="146" t="s">
        <v>1016</v>
      </c>
      <c r="W27" s="152">
        <v>1</v>
      </c>
      <c r="X27" s="146">
        <v>5</v>
      </c>
      <c r="Y27" s="150" t="str">
        <f t="array" ref="Y27">IF(W27*X27&lt;=5,"BAJO",
IF(W27*X27,"MEDIO",
IF(N27*P23O23*O27&lt;=50,"ALTO",
IF(N27*O27&lt;=100,"CRITICO","INACEPTABLE"))))</f>
        <v>BAJO</v>
      </c>
      <c r="Z27" s="124" t="str">
        <f t="shared" si="10"/>
        <v>ACEPTABLE</v>
      </c>
      <c r="AA27" s="124" t="s">
        <v>69</v>
      </c>
      <c r="AB27" s="127"/>
      <c r="AC27" s="127"/>
      <c r="AD27" s="127"/>
      <c r="AE27" s="127"/>
      <c r="AF27" s="127"/>
    </row>
    <row r="28" spans="1:32" s="126" customFormat="1" ht="213" customHeight="1" thickTop="1" thickBot="1" x14ac:dyDescent="0.6">
      <c r="A28" s="249"/>
      <c r="B28" s="121" t="s">
        <v>1066</v>
      </c>
      <c r="C28" s="121" t="s">
        <v>62</v>
      </c>
      <c r="D28" s="144"/>
      <c r="E28" s="121"/>
      <c r="F28" s="145" t="s">
        <v>1002</v>
      </c>
      <c r="G28" s="153" t="s">
        <v>63</v>
      </c>
      <c r="H28" s="154" t="s">
        <v>1003</v>
      </c>
      <c r="I28" s="117" t="s">
        <v>1090</v>
      </c>
      <c r="J28" s="117" t="s">
        <v>1004</v>
      </c>
      <c r="K28" s="117" t="s">
        <v>1067</v>
      </c>
      <c r="L28" s="117" t="s">
        <v>1005</v>
      </c>
      <c r="M28" s="117" t="s">
        <v>68</v>
      </c>
      <c r="N28" s="148">
        <v>3</v>
      </c>
      <c r="O28" s="149">
        <v>5</v>
      </c>
      <c r="P28" s="150" t="str">
        <f t="shared" si="8"/>
        <v>MEDIO</v>
      </c>
      <c r="Q28" s="124" t="str">
        <f t="shared" si="9"/>
        <v>ACEPTABLE CON CONTROL</v>
      </c>
      <c r="R28" s="146"/>
      <c r="S28" s="146"/>
      <c r="T28" s="146" t="s">
        <v>1006</v>
      </c>
      <c r="U28" s="146" t="s">
        <v>1007</v>
      </c>
      <c r="V28" s="146" t="s">
        <v>1008</v>
      </c>
      <c r="W28" s="152">
        <v>2</v>
      </c>
      <c r="X28" s="146">
        <v>5</v>
      </c>
      <c r="Y28" s="150" t="str">
        <f t="array" ref="Y28">IF(W28*X28&lt;=5,"BAJO",
IF(W28*X28,"MEDIO",
IF(N28*P23O23*O28&lt;=50,"ALTO",
IF(N28*O28&lt;=100,"CRITICO","INACEPTABLE"))))</f>
        <v>MEDIO</v>
      </c>
      <c r="Z28" s="124" t="str">
        <f t="shared" si="10"/>
        <v>ACEPTABLE CON CONTROL</v>
      </c>
      <c r="AA28" s="124" t="s">
        <v>69</v>
      </c>
      <c r="AB28" s="127"/>
      <c r="AC28" s="127"/>
      <c r="AD28" s="127"/>
      <c r="AE28" s="127"/>
      <c r="AF28" s="127"/>
    </row>
    <row r="29" spans="1:32" s="126" customFormat="1" ht="213" customHeight="1" thickTop="1" thickBot="1" x14ac:dyDescent="0.6">
      <c r="A29" s="249"/>
      <c r="B29" s="121" t="s">
        <v>904</v>
      </c>
      <c r="C29" s="121" t="s">
        <v>62</v>
      </c>
      <c r="D29" s="144"/>
      <c r="E29" s="121"/>
      <c r="F29" s="145" t="s">
        <v>994</v>
      </c>
      <c r="G29" s="153" t="s">
        <v>63</v>
      </c>
      <c r="H29" s="154" t="s">
        <v>995</v>
      </c>
      <c r="I29" s="117" t="s">
        <v>64</v>
      </c>
      <c r="J29" s="117" t="s">
        <v>996</v>
      </c>
      <c r="K29" s="117" t="s">
        <v>997</v>
      </c>
      <c r="L29" s="117" t="s">
        <v>998</v>
      </c>
      <c r="M29" s="117" t="s">
        <v>68</v>
      </c>
      <c r="N29" s="148">
        <v>3</v>
      </c>
      <c r="O29" s="149">
        <v>5</v>
      </c>
      <c r="P29" s="150" t="str">
        <f t="shared" ref="P29" si="11">IF(N29*O29&lt;=5,"BAJO",
IF(N29*O29&lt;=20,"MEDIO",
IF(N29*O29&lt;=50,"ALTO",
IF(N29*O29&lt;=100,"CRITICO","INACEPTABLE"))))</f>
        <v>MEDIO</v>
      </c>
      <c r="Q29" s="124" t="str">
        <f t="shared" ref="Q29" si="12">IF(N29*O29&lt;=5,"ACEPTABLE",
IF(N29*O29&lt;=20,"ACEPTABLE CON CONTROL",
IF(N29*O29&lt;=50,"NO ACEPTABLE",
IF(N29*O29&lt;=100,"INACEPTABLE – DETENER ACTIVIDAD",
"INACEPTABLE – DETENER INMEDIATAMENTE"))))</f>
        <v>ACEPTABLE CON CONTROL</v>
      </c>
      <c r="R29" s="146"/>
      <c r="S29" s="146"/>
      <c r="T29" s="146" t="s">
        <v>999</v>
      </c>
      <c r="U29" s="146" t="s">
        <v>1000</v>
      </c>
      <c r="V29" s="146" t="s">
        <v>1001</v>
      </c>
      <c r="W29" s="152">
        <v>1</v>
      </c>
      <c r="X29" s="146">
        <v>5</v>
      </c>
      <c r="Y29" s="150" t="str">
        <f t="array" ref="Y29">IF(W29*X29&lt;=5,"BAJO",
IF(W29*X29,"MEDIO",
IF(N29*P23O23*O29&lt;=50,"ALTO",
IF(N29*O29&lt;=100,"CRITICO","INACEPTABLE"))))</f>
        <v>BAJO</v>
      </c>
      <c r="Z29" s="124" t="str">
        <f t="shared" ref="Z29" si="13">IF(W29*X29&lt;=5,"ACEPTABLE",
IF(W29*X29&lt;=20,"ACEPTABLE CON CONTROL",
IF(W29*X29&lt;=50,"NO ACEPTABLE",
IF(W29*X29&lt;=100,"INACEPTABLE – DETENER ACTIVIDAD",
"INACEPTABLE – DETENER INMEDIATAMENTE"))))</f>
        <v>ACEPTABLE</v>
      </c>
      <c r="AA29" s="124" t="s">
        <v>69</v>
      </c>
      <c r="AB29" s="127"/>
      <c r="AC29" s="127"/>
      <c r="AD29" s="127"/>
      <c r="AE29" s="127"/>
      <c r="AF29" s="127"/>
    </row>
    <row r="30" spans="1:32" s="126" customFormat="1" ht="213" customHeight="1" thickTop="1" thickBot="1" x14ac:dyDescent="0.6">
      <c r="A30" s="250"/>
      <c r="B30" s="121" t="s">
        <v>1047</v>
      </c>
      <c r="C30" s="121" t="s">
        <v>62</v>
      </c>
      <c r="D30" s="144"/>
      <c r="E30" s="121"/>
      <c r="F30" s="145" t="s">
        <v>1048</v>
      </c>
      <c r="G30" s="153" t="s">
        <v>63</v>
      </c>
      <c r="H30" s="154" t="s">
        <v>1049</v>
      </c>
      <c r="I30" s="117" t="s">
        <v>71</v>
      </c>
      <c r="J30" s="117" t="s">
        <v>1050</v>
      </c>
      <c r="K30" s="117" t="s">
        <v>1051</v>
      </c>
      <c r="L30" s="117" t="s">
        <v>1052</v>
      </c>
      <c r="M30" s="117" t="s">
        <v>68</v>
      </c>
      <c r="N30" s="148">
        <v>4</v>
      </c>
      <c r="O30" s="149">
        <v>10</v>
      </c>
      <c r="P30" s="150" t="str">
        <f t="shared" si="8"/>
        <v>ALTO</v>
      </c>
      <c r="Q30" s="124" t="str">
        <f t="shared" si="9"/>
        <v>NO ACEPTABLE</v>
      </c>
      <c r="R30" s="146"/>
      <c r="S30" s="146"/>
      <c r="T30" s="146" t="s">
        <v>1053</v>
      </c>
      <c r="U30" s="146" t="s">
        <v>1054</v>
      </c>
      <c r="V30" s="146" t="s">
        <v>1055</v>
      </c>
      <c r="W30" s="152">
        <v>4</v>
      </c>
      <c r="X30" s="146">
        <v>5</v>
      </c>
      <c r="Y30" s="150" t="str">
        <f t="array" ref="Y30">IF(W30*X30&lt;=5,"BAJO",
IF(W30*X30,"MEDIO",
IF(N30*P23O23*O30&lt;=50,"ALTO",
IF(N30*O30&lt;=100,"CRITICO","INACEPTABLE"))))</f>
        <v>MEDIO</v>
      </c>
      <c r="Z30" s="124" t="str">
        <f t="shared" si="10"/>
        <v>ACEPTABLE CON CONTROL</v>
      </c>
      <c r="AA30" s="124" t="s">
        <v>69</v>
      </c>
      <c r="AB30" s="127"/>
      <c r="AC30" s="127"/>
      <c r="AD30" s="127"/>
      <c r="AE30" s="127"/>
      <c r="AF30" s="127"/>
    </row>
    <row r="31" spans="1:32" s="126" customFormat="1" ht="213" customHeight="1" thickTop="1" thickBot="1" x14ac:dyDescent="0.6">
      <c r="A31" s="221" t="s">
        <v>906</v>
      </c>
      <c r="B31" s="121" t="s">
        <v>907</v>
      </c>
      <c r="C31" s="129" t="s">
        <v>62</v>
      </c>
      <c r="D31" s="144"/>
      <c r="E31" s="121"/>
      <c r="F31" s="145" t="s">
        <v>1069</v>
      </c>
      <c r="G31" s="153" t="s">
        <v>63</v>
      </c>
      <c r="H31" s="154" t="s">
        <v>1070</v>
      </c>
      <c r="I31" s="117" t="s">
        <v>71</v>
      </c>
      <c r="J31" s="117" t="s">
        <v>990</v>
      </c>
      <c r="K31" s="117" t="s">
        <v>1071</v>
      </c>
      <c r="L31" s="117" t="s">
        <v>991</v>
      </c>
      <c r="M31" s="117" t="s">
        <v>68</v>
      </c>
      <c r="N31" s="148">
        <v>4</v>
      </c>
      <c r="O31" s="149">
        <v>5</v>
      </c>
      <c r="P31" s="150" t="str">
        <f t="shared" si="8"/>
        <v>MEDIO</v>
      </c>
      <c r="Q31" s="124" t="str">
        <f t="shared" si="9"/>
        <v>ACEPTABLE CON CONTROL</v>
      </c>
      <c r="R31" s="146"/>
      <c r="S31" s="146"/>
      <c r="T31" s="146" t="s">
        <v>992</v>
      </c>
      <c r="U31" s="146" t="s">
        <v>993</v>
      </c>
      <c r="V31" s="146" t="s">
        <v>985</v>
      </c>
      <c r="W31" s="152">
        <v>2</v>
      </c>
      <c r="X31" s="146">
        <v>5</v>
      </c>
      <c r="Y31" s="150" t="str">
        <f t="array" ref="Y31">IF(W31*X31&lt;=5,"BAJO",
IF(W31*X31,"MEDIO",
IF(N31*P23O23*O31&lt;=50,"ALTO",
IF(N31*O31&lt;=100,"CRITICO","INACEPTABLE"))))</f>
        <v>MEDIO</v>
      </c>
      <c r="Z31" s="124" t="str">
        <f t="shared" si="10"/>
        <v>ACEPTABLE CON CONTROL</v>
      </c>
      <c r="AA31" s="124" t="s">
        <v>69</v>
      </c>
      <c r="AB31" s="127"/>
      <c r="AC31" s="127"/>
      <c r="AD31" s="127"/>
      <c r="AE31" s="127"/>
      <c r="AF31" s="127"/>
    </row>
    <row r="32" spans="1:32" s="126" customFormat="1" ht="213" customHeight="1" thickTop="1" thickBot="1" x14ac:dyDescent="0.6">
      <c r="A32" s="267"/>
      <c r="B32" s="129" t="s">
        <v>908</v>
      </c>
      <c r="C32" s="129" t="s">
        <v>62</v>
      </c>
      <c r="D32" s="144"/>
      <c r="E32" s="121"/>
      <c r="F32" s="145" t="s">
        <v>1072</v>
      </c>
      <c r="G32" s="153" t="s">
        <v>63</v>
      </c>
      <c r="H32" s="154" t="s">
        <v>1073</v>
      </c>
      <c r="I32" s="117" t="s">
        <v>71</v>
      </c>
      <c r="J32" s="117" t="s">
        <v>1074</v>
      </c>
      <c r="K32" s="117" t="s">
        <v>989</v>
      </c>
      <c r="L32" s="117" t="s">
        <v>988</v>
      </c>
      <c r="M32" s="117" t="s">
        <v>68</v>
      </c>
      <c r="N32" s="148">
        <v>4</v>
      </c>
      <c r="O32" s="149">
        <v>5</v>
      </c>
      <c r="P32" s="150" t="str">
        <f t="shared" si="8"/>
        <v>MEDIO</v>
      </c>
      <c r="Q32" s="124" t="str">
        <f t="shared" si="9"/>
        <v>ACEPTABLE CON CONTROL</v>
      </c>
      <c r="R32" s="146"/>
      <c r="S32" s="146"/>
      <c r="T32" s="146" t="s">
        <v>986</v>
      </c>
      <c r="U32" s="146" t="s">
        <v>987</v>
      </c>
      <c r="V32" s="146" t="s">
        <v>985</v>
      </c>
      <c r="W32" s="152">
        <v>3</v>
      </c>
      <c r="X32" s="146">
        <v>5</v>
      </c>
      <c r="Y32" s="150" t="str">
        <f t="array" ref="Y32">IF(W32*X32&lt;=5,"BAJO",
IF(W32*X32,"MEDIO",
IF(N32*P23O23*O32&lt;=50,"ALTO",
IF(N32*O32&lt;=100,"CRITICO","INACEPTABLE"))))</f>
        <v>MEDIO</v>
      </c>
      <c r="Z32" s="124" t="str">
        <f t="shared" si="10"/>
        <v>ACEPTABLE CON CONTROL</v>
      </c>
      <c r="AA32" s="124" t="s">
        <v>69</v>
      </c>
      <c r="AB32" s="127"/>
      <c r="AC32" s="127"/>
      <c r="AD32" s="127"/>
      <c r="AE32" s="127"/>
      <c r="AF32" s="127"/>
    </row>
    <row r="33" spans="1:32" s="126" customFormat="1" ht="213" customHeight="1" thickTop="1" thickBot="1" x14ac:dyDescent="0.6">
      <c r="A33" s="222"/>
      <c r="B33" s="129" t="s">
        <v>909</v>
      </c>
      <c r="C33" s="129" t="s">
        <v>62</v>
      </c>
      <c r="D33" s="144"/>
      <c r="E33" s="121"/>
      <c r="F33" s="145" t="s">
        <v>978</v>
      </c>
      <c r="G33" s="153" t="s">
        <v>63</v>
      </c>
      <c r="H33" s="154" t="s">
        <v>979</v>
      </c>
      <c r="I33" s="117" t="s">
        <v>76</v>
      </c>
      <c r="J33" s="117" t="s">
        <v>980</v>
      </c>
      <c r="K33" s="117" t="s">
        <v>981</v>
      </c>
      <c r="L33" s="117" t="s">
        <v>831</v>
      </c>
      <c r="M33" s="117" t="s">
        <v>68</v>
      </c>
      <c r="N33" s="148">
        <v>3</v>
      </c>
      <c r="O33" s="149">
        <v>5</v>
      </c>
      <c r="P33" s="150" t="str">
        <f t="shared" si="8"/>
        <v>MEDIO</v>
      </c>
      <c r="Q33" s="124" t="str">
        <f t="shared" si="9"/>
        <v>ACEPTABLE CON CONTROL</v>
      </c>
      <c r="R33" s="146"/>
      <c r="S33" s="146"/>
      <c r="T33" s="146" t="s">
        <v>982</v>
      </c>
      <c r="U33" s="146" t="s">
        <v>983</v>
      </c>
      <c r="V33" s="146" t="s">
        <v>984</v>
      </c>
      <c r="W33" s="152">
        <v>2</v>
      </c>
      <c r="X33" s="146">
        <v>5</v>
      </c>
      <c r="Y33" s="150" t="str">
        <f t="array" ref="Y33">IF(W33*X33&lt;=5,"BAJO",
IF(W33*X33,"MEDIO",
IF(N33*P23O23*O33&lt;=50,"ALTO",
IF(N33*O33&lt;=100,"CRITICO","INACEPTABLE"))))</f>
        <v>MEDIO</v>
      </c>
      <c r="Z33" s="124" t="str">
        <f t="shared" si="10"/>
        <v>ACEPTABLE CON CONTROL</v>
      </c>
      <c r="AA33" s="124" t="s">
        <v>69</v>
      </c>
      <c r="AB33" s="127"/>
      <c r="AC33" s="127"/>
      <c r="AD33" s="127"/>
      <c r="AE33" s="127"/>
      <c r="AF33" s="127"/>
    </row>
    <row r="34" spans="1:32" s="126" customFormat="1" ht="213" customHeight="1" thickTop="1" thickBot="1" x14ac:dyDescent="0.6">
      <c r="A34" s="246" t="s">
        <v>728</v>
      </c>
      <c r="B34" s="155" t="s">
        <v>105</v>
      </c>
      <c r="C34" s="133" t="s">
        <v>62</v>
      </c>
      <c r="D34" s="121"/>
      <c r="E34" s="121"/>
      <c r="F34" s="145" t="s">
        <v>106</v>
      </c>
      <c r="G34" s="153" t="s">
        <v>63</v>
      </c>
      <c r="H34" s="154" t="s">
        <v>107</v>
      </c>
      <c r="I34" s="117" t="s">
        <v>71</v>
      </c>
      <c r="J34" s="117" t="s">
        <v>108</v>
      </c>
      <c r="K34" s="122" t="s">
        <v>109</v>
      </c>
      <c r="L34" s="122" t="s">
        <v>110</v>
      </c>
      <c r="M34" s="117" t="s">
        <v>68</v>
      </c>
      <c r="N34" s="148">
        <v>3</v>
      </c>
      <c r="O34" s="149">
        <v>20</v>
      </c>
      <c r="P34" s="150" t="str">
        <f t="shared" si="8"/>
        <v>CRITICO</v>
      </c>
      <c r="Q34" s="124" t="str">
        <f t="shared" si="9"/>
        <v>INACEPTABLE – DETENER ACTIVIDAD</v>
      </c>
      <c r="R34" s="146" t="s">
        <v>111</v>
      </c>
      <c r="S34" s="146" t="s">
        <v>112</v>
      </c>
      <c r="T34" s="146" t="s">
        <v>112</v>
      </c>
      <c r="U34" s="146" t="s">
        <v>113</v>
      </c>
      <c r="V34" s="131" t="s">
        <v>92</v>
      </c>
      <c r="W34" s="146">
        <v>2</v>
      </c>
      <c r="X34" s="146">
        <v>10</v>
      </c>
      <c r="Y34" s="150" t="str">
        <f t="array" ref="Y34">IF(W34*X34&lt;=5,"BAJO",
IF(W34*X34,"MEDIO",
IF(N34*P23O23*O34&lt;=50,"ALTO",
IF(N34*O34&lt;=100,"CRITICO","INACEPTABLE"))))</f>
        <v>MEDIO</v>
      </c>
      <c r="Z34" s="124" t="str">
        <f t="shared" si="10"/>
        <v>ACEPTABLE CON CONTROL</v>
      </c>
      <c r="AA34" s="124" t="s">
        <v>69</v>
      </c>
      <c r="AB34" s="127"/>
      <c r="AC34" s="127"/>
      <c r="AD34" s="127"/>
      <c r="AE34" s="127"/>
      <c r="AF34" s="127"/>
    </row>
    <row r="35" spans="1:32" s="126" customFormat="1" ht="213" customHeight="1" thickTop="1" thickBot="1" x14ac:dyDescent="0.6">
      <c r="A35" s="210"/>
      <c r="B35" s="156" t="s">
        <v>114</v>
      </c>
      <c r="C35" s="117" t="s">
        <v>62</v>
      </c>
      <c r="D35" s="121"/>
      <c r="E35" s="121"/>
      <c r="F35" s="145" t="s">
        <v>93</v>
      </c>
      <c r="G35" s="153" t="s">
        <v>63</v>
      </c>
      <c r="H35" s="154" t="s">
        <v>115</v>
      </c>
      <c r="I35" s="117" t="s">
        <v>71</v>
      </c>
      <c r="J35" s="117" t="s">
        <v>116</v>
      </c>
      <c r="K35" s="122" t="s">
        <v>109</v>
      </c>
      <c r="L35" s="122" t="s">
        <v>110</v>
      </c>
      <c r="M35" s="117" t="s">
        <v>68</v>
      </c>
      <c r="N35" s="148">
        <v>4</v>
      </c>
      <c r="O35" s="149">
        <v>20</v>
      </c>
      <c r="P35" s="150" t="str">
        <f t="shared" si="8"/>
        <v>CRITICO</v>
      </c>
      <c r="Q35" s="124" t="str">
        <f t="shared" si="9"/>
        <v>INACEPTABLE – DETENER ACTIVIDAD</v>
      </c>
      <c r="R35" s="146" t="s">
        <v>89</v>
      </c>
      <c r="S35" s="146" t="s">
        <v>89</v>
      </c>
      <c r="T35" s="146" t="s">
        <v>97</v>
      </c>
      <c r="U35" s="146" t="s">
        <v>98</v>
      </c>
      <c r="V35" s="146" t="s">
        <v>99</v>
      </c>
      <c r="W35" s="146">
        <v>2</v>
      </c>
      <c r="X35" s="146">
        <v>10</v>
      </c>
      <c r="Y35" s="150" t="str">
        <f t="array" ref="Y35">IF(W35*X35&lt;=5,"BAJO",
IF(W35*X35,"MEDIO",
IF(N35*P23O23*O35&lt;=50,"ALTO",
IF(N35*O35&lt;=100,"CRITICO","INACEPTABLE"))))</f>
        <v>MEDIO</v>
      </c>
      <c r="Z35" s="124" t="str">
        <f t="shared" si="10"/>
        <v>ACEPTABLE CON CONTROL</v>
      </c>
      <c r="AA35" s="124" t="s">
        <v>69</v>
      </c>
      <c r="AB35" s="127"/>
      <c r="AC35" s="127"/>
      <c r="AD35" s="127"/>
      <c r="AE35" s="127"/>
      <c r="AF35" s="127"/>
    </row>
    <row r="36" spans="1:32" s="126" customFormat="1" ht="307.89999999999998" customHeight="1" thickTop="1" thickBot="1" x14ac:dyDescent="0.6">
      <c r="A36" s="210"/>
      <c r="B36" s="156" t="s">
        <v>117</v>
      </c>
      <c r="C36" s="117" t="s">
        <v>62</v>
      </c>
      <c r="D36" s="121"/>
      <c r="E36" s="121"/>
      <c r="F36" s="145" t="s">
        <v>118</v>
      </c>
      <c r="G36" s="153" t="s">
        <v>63</v>
      </c>
      <c r="H36" s="178" t="s">
        <v>1075</v>
      </c>
      <c r="I36" s="117" t="s">
        <v>71</v>
      </c>
      <c r="J36" s="122" t="s">
        <v>119</v>
      </c>
      <c r="K36" s="122" t="s">
        <v>120</v>
      </c>
      <c r="L36" s="117" t="s">
        <v>121</v>
      </c>
      <c r="M36" s="117" t="s">
        <v>68</v>
      </c>
      <c r="N36" s="148">
        <v>4</v>
      </c>
      <c r="O36" s="149">
        <v>20</v>
      </c>
      <c r="P36" s="150" t="str">
        <f t="shared" si="8"/>
        <v>CRITICO</v>
      </c>
      <c r="Q36" s="124" t="str">
        <f t="shared" si="9"/>
        <v>INACEPTABLE – DETENER ACTIVIDAD</v>
      </c>
      <c r="R36" s="146" t="s">
        <v>122</v>
      </c>
      <c r="S36" s="146" t="s">
        <v>123</v>
      </c>
      <c r="T36" s="146" t="s">
        <v>124</v>
      </c>
      <c r="U36" s="146" t="s">
        <v>98</v>
      </c>
      <c r="V36" s="146" t="s">
        <v>99</v>
      </c>
      <c r="W36" s="146">
        <v>1</v>
      </c>
      <c r="X36" s="146">
        <v>20</v>
      </c>
      <c r="Y36" s="150" t="str">
        <f t="array" ref="Y36">IF(W36*X36&lt;=5,"BAJO",
IF(W36*X36,"MEDIO",
IF(N36*P23O23*O36&lt;=50,"ALTO",
IF(N36*O36&lt;=100,"CRITICO","INACEPTABLE"))))</f>
        <v>MEDIO</v>
      </c>
      <c r="Z36" s="124" t="str">
        <f t="shared" si="10"/>
        <v>ACEPTABLE CON CONTROL</v>
      </c>
      <c r="AA36" s="124" t="s">
        <v>69</v>
      </c>
      <c r="AB36" s="127"/>
      <c r="AC36" s="127"/>
      <c r="AD36" s="127"/>
      <c r="AE36" s="127"/>
      <c r="AF36" s="127"/>
    </row>
    <row r="37" spans="1:32" s="126" customFormat="1" ht="320.45" customHeight="1" thickTop="1" thickBot="1" x14ac:dyDescent="0.6">
      <c r="A37" s="210"/>
      <c r="B37" s="156" t="s">
        <v>125</v>
      </c>
      <c r="C37" s="117" t="s">
        <v>62</v>
      </c>
      <c r="D37" s="121"/>
      <c r="E37" s="121"/>
      <c r="F37" s="145" t="s">
        <v>126</v>
      </c>
      <c r="G37" s="153" t="s">
        <v>63</v>
      </c>
      <c r="H37" s="178" t="s">
        <v>1076</v>
      </c>
      <c r="I37" s="117" t="s">
        <v>71</v>
      </c>
      <c r="J37" s="117" t="s">
        <v>127</v>
      </c>
      <c r="K37" s="117" t="s">
        <v>128</v>
      </c>
      <c r="L37" s="117" t="s">
        <v>129</v>
      </c>
      <c r="M37" s="117" t="s">
        <v>68</v>
      </c>
      <c r="N37" s="148">
        <v>4</v>
      </c>
      <c r="O37" s="149">
        <v>20</v>
      </c>
      <c r="P37" s="150" t="str">
        <f t="shared" si="8"/>
        <v>CRITICO</v>
      </c>
      <c r="Q37" s="124" t="str">
        <f t="shared" si="9"/>
        <v>INACEPTABLE – DETENER ACTIVIDAD</v>
      </c>
      <c r="R37" s="146" t="s">
        <v>122</v>
      </c>
      <c r="S37" s="146" t="s">
        <v>123</v>
      </c>
      <c r="T37" s="146" t="s">
        <v>124</v>
      </c>
      <c r="U37" s="146" t="s">
        <v>98</v>
      </c>
      <c r="V37" s="146" t="s">
        <v>99</v>
      </c>
      <c r="W37" s="146">
        <v>1</v>
      </c>
      <c r="X37" s="146">
        <v>20</v>
      </c>
      <c r="Y37" s="150" t="str">
        <f t="array" ref="Y37">IF(W37*X37&lt;=5,"BAJO",
IF(W37*X37,"MEDIO",
IF(N37*P23O23*O37&lt;=50,"ALTO",
IF(N37*O37&lt;=100,"CRITICO","INACEPTABLE"))))</f>
        <v>MEDIO</v>
      </c>
      <c r="Z37" s="124" t="str">
        <f t="shared" si="10"/>
        <v>ACEPTABLE CON CONTROL</v>
      </c>
      <c r="AA37" s="124" t="s">
        <v>69</v>
      </c>
      <c r="AB37" s="127"/>
      <c r="AC37" s="127"/>
      <c r="AD37" s="127"/>
      <c r="AE37" s="127"/>
      <c r="AF37" s="127"/>
    </row>
    <row r="38" spans="1:32" s="126" customFormat="1" ht="213" customHeight="1" thickTop="1" thickBot="1" x14ac:dyDescent="0.6">
      <c r="A38" s="210"/>
      <c r="B38" s="156" t="s">
        <v>73</v>
      </c>
      <c r="C38" s="121"/>
      <c r="D38" s="117" t="s">
        <v>62</v>
      </c>
      <c r="E38" s="121"/>
      <c r="F38" s="145" t="s">
        <v>74</v>
      </c>
      <c r="G38" s="146" t="s">
        <v>63</v>
      </c>
      <c r="H38" s="147" t="s">
        <v>75</v>
      </c>
      <c r="I38" s="117" t="s">
        <v>76</v>
      </c>
      <c r="J38" s="117" t="s">
        <v>77</v>
      </c>
      <c r="K38" s="117" t="s">
        <v>78</v>
      </c>
      <c r="L38" s="117" t="s">
        <v>79</v>
      </c>
      <c r="M38" s="117" t="s">
        <v>68</v>
      </c>
      <c r="N38" s="148">
        <v>3</v>
      </c>
      <c r="O38" s="149">
        <v>5</v>
      </c>
      <c r="P38" s="150" t="str">
        <f t="shared" si="8"/>
        <v>MEDIO</v>
      </c>
      <c r="Q38" s="124" t="str">
        <f t="shared" si="9"/>
        <v>ACEPTABLE CON CONTROL</v>
      </c>
      <c r="R38" s="146" t="s">
        <v>80</v>
      </c>
      <c r="S38" s="146" t="s">
        <v>81</v>
      </c>
      <c r="T38" s="146" t="s">
        <v>82</v>
      </c>
      <c r="U38" s="146" t="s">
        <v>83</v>
      </c>
      <c r="V38" s="146" t="s">
        <v>84</v>
      </c>
      <c r="W38" s="146">
        <v>1</v>
      </c>
      <c r="X38" s="146">
        <v>5</v>
      </c>
      <c r="Y38" s="150" t="str">
        <f t="array" ref="Y38">IF(W38*X38&lt;=5,"BAJO",
IF(W38*X38,"MEDIO",
IF(N38*P23O23*O38&lt;=50,"ALTO",
IF(N38*O38&lt;=100,"CRITICO","INACEPTABLE"))))</f>
        <v>BAJO</v>
      </c>
      <c r="Z38" s="124" t="str">
        <f>IF(W38*X38&lt;=5,"ACEPTABLE",
IF(W38*X38&lt;=20,"ACEPTABLE CON CONTROL",
IF(W38*X38&lt;=50,"NO ACEPTABLE",
IF(W38*X38&lt;=100,"INACEPTABLE – DETENER ACTIVIDAD",
"INACEPTABLE – DETENER INMEDIATAMENTE"))))</f>
        <v>ACEPTABLE</v>
      </c>
      <c r="AA38" s="124" t="s">
        <v>69</v>
      </c>
      <c r="AB38" s="127"/>
      <c r="AC38" s="127"/>
      <c r="AD38" s="127"/>
      <c r="AE38" s="127"/>
      <c r="AF38" s="127"/>
    </row>
    <row r="39" spans="1:32" s="126" customFormat="1" ht="213" customHeight="1" thickTop="1" thickBot="1" x14ac:dyDescent="0.6">
      <c r="A39" s="210"/>
      <c r="B39" s="156" t="s">
        <v>729</v>
      </c>
      <c r="C39" s="121"/>
      <c r="D39" s="117" t="s">
        <v>62</v>
      </c>
      <c r="E39" s="121"/>
      <c r="F39" s="145" t="s">
        <v>797</v>
      </c>
      <c r="G39" s="146" t="s">
        <v>63</v>
      </c>
      <c r="H39" s="154" t="s">
        <v>825</v>
      </c>
      <c r="I39" s="117" t="s">
        <v>212</v>
      </c>
      <c r="J39" s="117" t="s">
        <v>819</v>
      </c>
      <c r="K39" s="117" t="s">
        <v>820</v>
      </c>
      <c r="L39" s="117" t="s">
        <v>821</v>
      </c>
      <c r="M39" s="117" t="s">
        <v>68</v>
      </c>
      <c r="N39" s="148">
        <v>4</v>
      </c>
      <c r="O39" s="149">
        <v>5</v>
      </c>
      <c r="P39" s="150" t="str">
        <f t="shared" si="8"/>
        <v>MEDIO</v>
      </c>
      <c r="Q39" s="124" t="str">
        <f t="shared" si="9"/>
        <v>ACEPTABLE CON CONTROL</v>
      </c>
      <c r="R39" s="146"/>
      <c r="S39" s="146" t="s">
        <v>865</v>
      </c>
      <c r="T39" s="146" t="s">
        <v>866</v>
      </c>
      <c r="U39" s="146" t="s">
        <v>867</v>
      </c>
      <c r="V39" s="146" t="s">
        <v>868</v>
      </c>
      <c r="W39" s="146">
        <v>2</v>
      </c>
      <c r="X39" s="146">
        <v>5</v>
      </c>
      <c r="Y39" s="150" t="str">
        <f t="array" ref="Y39">IF(W39*X39&lt;=5,"BAJO",
IF(W39*X39,"MEDIO",
IF(N39*P23O23*O39&lt;=50,"ALTO",
IF(N39*O39&lt;=100,"CRITICO","INACEPTABLE"))))</f>
        <v>MEDIO</v>
      </c>
      <c r="Z39" s="124" t="str">
        <f t="shared" ref="Z39:Z84" si="14">IF(W39*X39&lt;=5,"ACEPTABLE",
IF(W39*X39&lt;=20,"ACEPTABLE CON CONTROL",
IF(W39*X39&lt;=50,"NO ACEPTABLE",
IF(W39*X39&lt;=100,"INACEPTABLE – DETENER ACTIVIDAD",
"INACEPTABLE – DETENER INMEDIATAMENTE"))))</f>
        <v>ACEPTABLE CON CONTROL</v>
      </c>
      <c r="AA39" s="124" t="s">
        <v>69</v>
      </c>
      <c r="AB39" s="127"/>
      <c r="AC39" s="127"/>
      <c r="AD39" s="127"/>
      <c r="AE39" s="127"/>
      <c r="AF39" s="127"/>
    </row>
    <row r="40" spans="1:32" s="126" customFormat="1" ht="213" customHeight="1" thickTop="1" thickBot="1" x14ac:dyDescent="0.6">
      <c r="A40" s="210"/>
      <c r="B40" s="156" t="s">
        <v>730</v>
      </c>
      <c r="C40" s="121"/>
      <c r="D40" s="117" t="s">
        <v>62</v>
      </c>
      <c r="E40" s="121"/>
      <c r="F40" s="145" t="s">
        <v>797</v>
      </c>
      <c r="G40" s="146" t="s">
        <v>63</v>
      </c>
      <c r="H40" s="154" t="s">
        <v>826</v>
      </c>
      <c r="I40" s="117" t="s">
        <v>76</v>
      </c>
      <c r="J40" s="117" t="s">
        <v>822</v>
      </c>
      <c r="K40" s="117" t="s">
        <v>823</v>
      </c>
      <c r="L40" s="117" t="s">
        <v>824</v>
      </c>
      <c r="M40" s="117" t="s">
        <v>68</v>
      </c>
      <c r="N40" s="148">
        <v>4</v>
      </c>
      <c r="O40" s="149">
        <v>5</v>
      </c>
      <c r="P40" s="150" t="str">
        <f t="shared" si="8"/>
        <v>MEDIO</v>
      </c>
      <c r="Q40" s="124" t="str">
        <f t="shared" si="9"/>
        <v>ACEPTABLE CON CONTROL</v>
      </c>
      <c r="R40" s="146"/>
      <c r="S40" s="146"/>
      <c r="T40" s="146" t="s">
        <v>869</v>
      </c>
      <c r="U40" s="146" t="s">
        <v>870</v>
      </c>
      <c r="V40" s="146" t="s">
        <v>871</v>
      </c>
      <c r="W40" s="146">
        <v>2</v>
      </c>
      <c r="X40" s="146">
        <v>5</v>
      </c>
      <c r="Y40" s="150" t="str">
        <f t="array" ref="Y40">IF(W40*X40&lt;=5,"BAJO",
IF(W40*X40,"MEDIO",
IF(N40*P23O23*O40&lt;=50,"ALTO",
IF(N40*O40&lt;=100,"CRITICO","INACEPTABLE"))))</f>
        <v>MEDIO</v>
      </c>
      <c r="Z40" s="124" t="str">
        <f t="shared" si="14"/>
        <v>ACEPTABLE CON CONTROL</v>
      </c>
      <c r="AA40" s="124" t="s">
        <v>69</v>
      </c>
      <c r="AB40" s="127"/>
      <c r="AC40" s="127"/>
      <c r="AD40" s="127"/>
      <c r="AE40" s="127"/>
      <c r="AF40" s="127"/>
    </row>
    <row r="41" spans="1:32" s="126" customFormat="1" ht="213" customHeight="1" thickTop="1" thickBot="1" x14ac:dyDescent="0.6">
      <c r="A41" s="210"/>
      <c r="B41" s="156" t="s">
        <v>130</v>
      </c>
      <c r="C41" s="121"/>
      <c r="D41" s="117" t="s">
        <v>62</v>
      </c>
      <c r="E41" s="121"/>
      <c r="F41" s="145" t="s">
        <v>131</v>
      </c>
      <c r="G41" s="153" t="s">
        <v>63</v>
      </c>
      <c r="H41" s="154" t="s">
        <v>132</v>
      </c>
      <c r="I41" s="117" t="s">
        <v>71</v>
      </c>
      <c r="J41" s="117" t="s">
        <v>133</v>
      </c>
      <c r="K41" s="117" t="s">
        <v>134</v>
      </c>
      <c r="L41" s="117" t="s">
        <v>135</v>
      </c>
      <c r="M41" s="117" t="s">
        <v>68</v>
      </c>
      <c r="N41" s="148">
        <v>3</v>
      </c>
      <c r="O41" s="149">
        <v>10</v>
      </c>
      <c r="P41" s="150" t="str">
        <f t="shared" si="8"/>
        <v>ALTO</v>
      </c>
      <c r="Q41" s="124" t="str">
        <f t="shared" si="9"/>
        <v>NO ACEPTABLE</v>
      </c>
      <c r="R41" s="146" t="s">
        <v>136</v>
      </c>
      <c r="S41" s="146" t="s">
        <v>137</v>
      </c>
      <c r="T41" s="146" t="s">
        <v>138</v>
      </c>
      <c r="U41" s="146" t="s">
        <v>139</v>
      </c>
      <c r="V41" s="146" t="s">
        <v>140</v>
      </c>
      <c r="W41" s="146">
        <v>2</v>
      </c>
      <c r="X41" s="146">
        <v>10</v>
      </c>
      <c r="Y41" s="150" t="str">
        <f t="array" ref="Y41">IF(W41*X41&lt;=5,"BAJO",
IF(W41*X41,"MEDIO",
IF(N41*P23O23*O41&lt;=50,"ALTO",
IF(N41*O41&lt;=100,"CRITICO","INACEPTABLE"))))</f>
        <v>MEDIO</v>
      </c>
      <c r="Z41" s="124" t="str">
        <f t="shared" ref="Z41:Z45" si="15">IF(W41*X41&lt;=5,"ACEPTABLE",
IF(W41*X41&lt;=20,"ACEPTABLE CON CONTROL",
IF(W41*X41&lt;=50,"NO ACEPTABLE",
IF(W41*X41&lt;=100,"INACEPTABLE – DETENER ACTIVIDAD",
"INACEPTABLE – DETENER INMEDIATAMENTE"))))</f>
        <v>ACEPTABLE CON CONTROL</v>
      </c>
      <c r="AA41" s="124" t="s">
        <v>69</v>
      </c>
      <c r="AB41" s="127"/>
      <c r="AC41" s="127"/>
      <c r="AD41" s="127"/>
      <c r="AE41" s="127"/>
      <c r="AF41" s="127"/>
    </row>
    <row r="42" spans="1:32" s="126" customFormat="1" ht="213" customHeight="1" thickTop="1" thickBot="1" x14ac:dyDescent="0.6">
      <c r="A42" s="244" t="s">
        <v>950</v>
      </c>
      <c r="B42" s="156" t="s">
        <v>951</v>
      </c>
      <c r="C42" s="121" t="s">
        <v>62</v>
      </c>
      <c r="D42" s="117"/>
      <c r="E42" s="121"/>
      <c r="F42" s="145" t="s">
        <v>953</v>
      </c>
      <c r="G42" s="153" t="s">
        <v>63</v>
      </c>
      <c r="H42" s="154" t="s">
        <v>954</v>
      </c>
      <c r="I42" s="117" t="s">
        <v>64</v>
      </c>
      <c r="J42" s="157" t="s">
        <v>957</v>
      </c>
      <c r="K42" s="117" t="s">
        <v>956</v>
      </c>
      <c r="L42" s="117" t="s">
        <v>958</v>
      </c>
      <c r="M42" s="117" t="s">
        <v>68</v>
      </c>
      <c r="N42" s="148">
        <v>3</v>
      </c>
      <c r="O42" s="149">
        <v>5</v>
      </c>
      <c r="P42" s="150" t="str">
        <f t="shared" si="8"/>
        <v>MEDIO</v>
      </c>
      <c r="Q42" s="124" t="str">
        <f t="shared" si="9"/>
        <v>ACEPTABLE CON CONTROL</v>
      </c>
      <c r="R42" s="146"/>
      <c r="S42" s="146"/>
      <c r="T42" s="146" t="s">
        <v>959</v>
      </c>
      <c r="U42" s="146"/>
      <c r="V42" s="146" t="s">
        <v>960</v>
      </c>
      <c r="W42" s="146">
        <v>3</v>
      </c>
      <c r="X42" s="146">
        <v>2</v>
      </c>
      <c r="Y42" s="150" t="str">
        <f t="array" ref="Y42">IF(W42*X42&lt;=5,"BAJO",
IF(W42*X42,"MEDIO",
IF(N42*P23O23*O42&lt;=50,"ALTO",
IF(N42*O42&lt;=100,"CRITICO","INACEPTABLE"))))</f>
        <v>MEDIO</v>
      </c>
      <c r="Z42" s="124" t="str">
        <f t="shared" si="15"/>
        <v>ACEPTABLE CON CONTROL</v>
      </c>
      <c r="AA42" s="124" t="s">
        <v>69</v>
      </c>
      <c r="AB42" s="127"/>
      <c r="AC42" s="127"/>
      <c r="AD42" s="127"/>
      <c r="AE42" s="127"/>
      <c r="AF42" s="127"/>
    </row>
    <row r="43" spans="1:32" s="126" customFormat="1" ht="213" customHeight="1" thickTop="1" thickBot="1" x14ac:dyDescent="0.6">
      <c r="A43" s="246"/>
      <c r="B43" s="156" t="s">
        <v>952</v>
      </c>
      <c r="C43" s="121" t="s">
        <v>62</v>
      </c>
      <c r="D43" s="117"/>
      <c r="E43" s="121"/>
      <c r="F43" s="145" t="s">
        <v>961</v>
      </c>
      <c r="G43" s="153" t="s">
        <v>63</v>
      </c>
      <c r="H43" s="154" t="s">
        <v>962</v>
      </c>
      <c r="I43" s="117" t="s">
        <v>71</v>
      </c>
      <c r="J43" s="117" t="s">
        <v>963</v>
      </c>
      <c r="K43" s="117" t="s">
        <v>964</v>
      </c>
      <c r="L43" s="117" t="s">
        <v>965</v>
      </c>
      <c r="M43" s="117" t="s">
        <v>68</v>
      </c>
      <c r="N43" s="148">
        <v>4</v>
      </c>
      <c r="O43" s="149">
        <v>5</v>
      </c>
      <c r="P43" s="150" t="str">
        <f t="shared" si="8"/>
        <v>MEDIO</v>
      </c>
      <c r="Q43" s="124" t="str">
        <f t="shared" si="9"/>
        <v>ACEPTABLE CON CONTROL</v>
      </c>
      <c r="R43" s="146"/>
      <c r="S43" s="146"/>
      <c r="T43" s="146" t="s">
        <v>966</v>
      </c>
      <c r="U43" s="146" t="s">
        <v>967</v>
      </c>
      <c r="V43" s="146" t="s">
        <v>968</v>
      </c>
      <c r="W43" s="146">
        <v>2</v>
      </c>
      <c r="X43" s="146">
        <v>5</v>
      </c>
      <c r="Y43" s="150" t="str">
        <f t="array" ref="Y43">IF(W43*X43&lt;=5,"BAJO",
IF(W43*X43,"MEDIO",
IF(N43*P23O23*O43&lt;=50,"ALTO",
IF(N43*O43&lt;=100,"CRITICO","INACEPTABLE"))))</f>
        <v>MEDIO</v>
      </c>
      <c r="Z43" s="124" t="str">
        <f t="shared" si="15"/>
        <v>ACEPTABLE CON CONTROL</v>
      </c>
      <c r="AA43" s="124" t="s">
        <v>69</v>
      </c>
      <c r="AB43" s="127"/>
      <c r="AC43" s="127"/>
      <c r="AD43" s="127"/>
      <c r="AE43" s="127"/>
      <c r="AF43" s="127"/>
    </row>
    <row r="44" spans="1:32" s="126" customFormat="1" ht="213" customHeight="1" thickTop="1" thickBot="1" x14ac:dyDescent="0.6">
      <c r="A44" s="158" t="s">
        <v>731</v>
      </c>
      <c r="B44" s="156" t="s">
        <v>153</v>
      </c>
      <c r="C44" s="121"/>
      <c r="D44" s="117" t="s">
        <v>62</v>
      </c>
      <c r="E44" s="121"/>
      <c r="F44" s="159" t="s">
        <v>100</v>
      </c>
      <c r="G44" s="146" t="s">
        <v>63</v>
      </c>
      <c r="H44" s="147" t="s">
        <v>154</v>
      </c>
      <c r="I44" s="117" t="s">
        <v>71</v>
      </c>
      <c r="J44" s="117" t="s">
        <v>155</v>
      </c>
      <c r="K44" s="121" t="s">
        <v>1060</v>
      </c>
      <c r="L44" s="117" t="s">
        <v>156</v>
      </c>
      <c r="M44" s="117" t="s">
        <v>68</v>
      </c>
      <c r="N44" s="148">
        <v>4</v>
      </c>
      <c r="O44" s="149">
        <v>20</v>
      </c>
      <c r="P44" s="150" t="str">
        <f t="shared" si="8"/>
        <v>CRITICO</v>
      </c>
      <c r="Q44" s="124" t="str">
        <f t="shared" si="9"/>
        <v>INACEPTABLE – DETENER ACTIVIDAD</v>
      </c>
      <c r="R44" s="146" t="s">
        <v>101</v>
      </c>
      <c r="S44" s="146" t="s">
        <v>102</v>
      </c>
      <c r="T44" s="146" t="s">
        <v>103</v>
      </c>
      <c r="U44" s="146" t="s">
        <v>104</v>
      </c>
      <c r="V44" s="146" t="s">
        <v>99</v>
      </c>
      <c r="W44" s="146">
        <v>1</v>
      </c>
      <c r="X44" s="146">
        <v>20</v>
      </c>
      <c r="Y44" s="150" t="str">
        <f t="array" ref="Y44">IF(W44*X44&lt;=5,"BAJO",
IF(W44*X44,"MEDIO",
IF(N44*P23O23*O44&lt;=50,"ALTO",
IF(N44*O44&lt;=100,"CRITICO","INACEPTABLE"))))</f>
        <v>MEDIO</v>
      </c>
      <c r="Z44" s="124" t="str">
        <f t="shared" si="15"/>
        <v>ACEPTABLE CON CONTROL</v>
      </c>
      <c r="AA44" s="124" t="s">
        <v>69</v>
      </c>
      <c r="AB44" s="127"/>
      <c r="AC44" s="127"/>
      <c r="AD44" s="127"/>
      <c r="AE44" s="127"/>
      <c r="AF44" s="127"/>
    </row>
    <row r="45" spans="1:32" s="126" customFormat="1" ht="213" customHeight="1" thickTop="1" thickBot="1" x14ac:dyDescent="0.6">
      <c r="A45" s="244" t="s">
        <v>157</v>
      </c>
      <c r="B45" s="244" t="s">
        <v>798</v>
      </c>
      <c r="C45" s="221" t="s">
        <v>62</v>
      </c>
      <c r="D45" s="244"/>
      <c r="E45" s="221"/>
      <c r="F45" s="247" t="s">
        <v>799</v>
      </c>
      <c r="G45" s="270" t="s">
        <v>63</v>
      </c>
      <c r="H45" s="271" t="s">
        <v>800</v>
      </c>
      <c r="I45" s="117" t="s">
        <v>71</v>
      </c>
      <c r="J45" s="117" t="s">
        <v>827</v>
      </c>
      <c r="K45" s="121" t="s">
        <v>828</v>
      </c>
      <c r="L45" s="117" t="s">
        <v>829</v>
      </c>
      <c r="M45" s="117" t="s">
        <v>68</v>
      </c>
      <c r="N45" s="148">
        <v>5</v>
      </c>
      <c r="O45" s="149">
        <v>10</v>
      </c>
      <c r="P45" s="150" t="str">
        <f t="shared" si="8"/>
        <v>ALTO</v>
      </c>
      <c r="Q45" s="124" t="str">
        <f t="shared" si="9"/>
        <v>NO ACEPTABLE</v>
      </c>
      <c r="R45" s="146"/>
      <c r="S45" s="146"/>
      <c r="T45" s="146" t="s">
        <v>872</v>
      </c>
      <c r="U45" s="146" t="s">
        <v>873</v>
      </c>
      <c r="V45" s="146" t="s">
        <v>874</v>
      </c>
      <c r="W45" s="146">
        <v>2</v>
      </c>
      <c r="X45" s="146">
        <v>10</v>
      </c>
      <c r="Y45" s="150" t="str">
        <f t="array" ref="Y45">IF(W45*X45&lt;=5,"BAJO",
IF(W45*X45,"MEDIO",
IF(N45*P23O23*O45&lt;=50,"ALTO",
IF(N45*O45&lt;=100,"CRITICO","INACEPTABLE"))))</f>
        <v>MEDIO</v>
      </c>
      <c r="Z45" s="124" t="str">
        <f t="shared" si="15"/>
        <v>ACEPTABLE CON CONTROL</v>
      </c>
      <c r="AA45" s="124" t="s">
        <v>69</v>
      </c>
      <c r="AB45" s="127"/>
      <c r="AC45" s="127"/>
      <c r="AD45" s="127"/>
      <c r="AE45" s="127"/>
      <c r="AF45" s="127"/>
    </row>
    <row r="46" spans="1:32" s="126" customFormat="1" ht="213" customHeight="1" thickTop="1" thickBot="1" x14ac:dyDescent="0.6">
      <c r="A46" s="245"/>
      <c r="B46" s="246"/>
      <c r="C46" s="222"/>
      <c r="D46" s="246"/>
      <c r="E46" s="222"/>
      <c r="F46" s="248"/>
      <c r="G46" s="269"/>
      <c r="H46" s="272"/>
      <c r="I46" s="117" t="s">
        <v>76</v>
      </c>
      <c r="J46" s="117" t="s">
        <v>830</v>
      </c>
      <c r="K46" s="121" t="s">
        <v>444</v>
      </c>
      <c r="L46" s="117" t="s">
        <v>831</v>
      </c>
      <c r="M46" s="117" t="s">
        <v>68</v>
      </c>
      <c r="N46" s="148">
        <v>4</v>
      </c>
      <c r="O46" s="149">
        <v>5</v>
      </c>
      <c r="P46" s="150" t="str">
        <f t="shared" si="8"/>
        <v>MEDIO</v>
      </c>
      <c r="Q46" s="124" t="str">
        <f t="shared" si="9"/>
        <v>ACEPTABLE CON CONTROL</v>
      </c>
      <c r="R46" s="146"/>
      <c r="S46" s="146"/>
      <c r="T46" s="146" t="s">
        <v>875</v>
      </c>
      <c r="U46" s="146" t="s">
        <v>876</v>
      </c>
      <c r="V46" s="146" t="s">
        <v>877</v>
      </c>
      <c r="W46" s="146">
        <v>2</v>
      </c>
      <c r="X46" s="146">
        <v>5</v>
      </c>
      <c r="Y46" s="150" t="str">
        <f t="array" ref="Y46">IF(W46*X46&lt;=5,"BAJO",
IF(W46*X46,"MEDIO",
IF(N46*P23O23*O46&lt;=50,"ALTO",
IF(N46*O46&lt;=100,"CRITICO","INACEPTABLE"))))</f>
        <v>MEDIO</v>
      </c>
      <c r="Z46" s="124" t="str">
        <f t="shared" si="14"/>
        <v>ACEPTABLE CON CONTROL</v>
      </c>
      <c r="AA46" s="124" t="s">
        <v>69</v>
      </c>
      <c r="AB46" s="127"/>
      <c r="AC46" s="127"/>
      <c r="AD46" s="127"/>
      <c r="AE46" s="127"/>
      <c r="AF46" s="127"/>
    </row>
    <row r="47" spans="1:32" s="126" customFormat="1" ht="213" customHeight="1" thickTop="1" thickBot="1" x14ac:dyDescent="0.6">
      <c r="A47" s="245"/>
      <c r="B47" s="117" t="s">
        <v>735</v>
      </c>
      <c r="C47" s="117" t="s">
        <v>62</v>
      </c>
      <c r="D47" s="121"/>
      <c r="E47" s="121"/>
      <c r="F47" s="159" t="s">
        <v>158</v>
      </c>
      <c r="G47" s="146" t="s">
        <v>63</v>
      </c>
      <c r="H47" s="160" t="s">
        <v>159</v>
      </c>
      <c r="I47" s="131" t="s">
        <v>71</v>
      </c>
      <c r="J47" s="137" t="s">
        <v>160</v>
      </c>
      <c r="K47" s="131" t="s">
        <v>95</v>
      </c>
      <c r="L47" s="131" t="s">
        <v>161</v>
      </c>
      <c r="M47" s="131" t="s">
        <v>68</v>
      </c>
      <c r="N47" s="149">
        <v>3</v>
      </c>
      <c r="O47" s="149">
        <v>20</v>
      </c>
      <c r="P47" s="150" t="str">
        <f t="shared" si="8"/>
        <v>CRITICO</v>
      </c>
      <c r="Q47" s="124" t="str">
        <f t="shared" si="9"/>
        <v>INACEPTABLE – DETENER ACTIVIDAD</v>
      </c>
      <c r="R47" s="146" t="s">
        <v>101</v>
      </c>
      <c r="S47" s="146" t="s">
        <v>102</v>
      </c>
      <c r="T47" s="146" t="s">
        <v>103</v>
      </c>
      <c r="U47" s="146" t="s">
        <v>104</v>
      </c>
      <c r="V47" s="146" t="s">
        <v>99</v>
      </c>
      <c r="W47" s="146">
        <v>1</v>
      </c>
      <c r="X47" s="146">
        <v>20</v>
      </c>
      <c r="Y47" s="150" t="str">
        <f t="array" ref="Y47">IF(W47*X47&lt;=5,"BAJO",
IF(W47*X47,"MEDIO",
IF(N47*P23O23*O47&lt;=50,"ALTO",
IF(N47*O47&lt;=100,"CRITICO","INACEPTABLE"))))</f>
        <v>MEDIO</v>
      </c>
      <c r="Z47" s="124" t="str">
        <f t="shared" si="14"/>
        <v>ACEPTABLE CON CONTROL</v>
      </c>
      <c r="AA47" s="124" t="s">
        <v>69</v>
      </c>
      <c r="AB47" s="127"/>
      <c r="AC47" s="127"/>
      <c r="AD47" s="127"/>
      <c r="AE47" s="127"/>
      <c r="AF47" s="127"/>
    </row>
    <row r="48" spans="1:32" s="126" customFormat="1" ht="213" customHeight="1" thickTop="1" thickBot="1" x14ac:dyDescent="0.6">
      <c r="A48" s="245"/>
      <c r="B48" s="117" t="s">
        <v>734</v>
      </c>
      <c r="C48" s="117" t="s">
        <v>62</v>
      </c>
      <c r="D48" s="121"/>
      <c r="E48" s="121"/>
      <c r="F48" s="159" t="s">
        <v>142</v>
      </c>
      <c r="G48" s="146" t="s">
        <v>63</v>
      </c>
      <c r="H48" s="160" t="s">
        <v>162</v>
      </c>
      <c r="I48" s="146" t="s">
        <v>64</v>
      </c>
      <c r="J48" s="146" t="s">
        <v>163</v>
      </c>
      <c r="K48" s="146" t="s">
        <v>164</v>
      </c>
      <c r="L48" s="146" t="s">
        <v>165</v>
      </c>
      <c r="M48" s="146" t="s">
        <v>68</v>
      </c>
      <c r="N48" s="149">
        <v>3</v>
      </c>
      <c r="O48" s="149">
        <v>5</v>
      </c>
      <c r="P48" s="150" t="str">
        <f t="shared" si="8"/>
        <v>MEDIO</v>
      </c>
      <c r="Q48" s="124" t="str">
        <f t="shared" si="9"/>
        <v>ACEPTABLE CON CONTROL</v>
      </c>
      <c r="R48" s="146" t="s">
        <v>166</v>
      </c>
      <c r="S48" s="146" t="s">
        <v>167</v>
      </c>
      <c r="T48" s="146" t="s">
        <v>168</v>
      </c>
      <c r="U48" s="146" t="s">
        <v>169</v>
      </c>
      <c r="V48" s="146" t="s">
        <v>170</v>
      </c>
      <c r="W48" s="146">
        <v>2</v>
      </c>
      <c r="X48" s="146">
        <v>5</v>
      </c>
      <c r="Y48" s="150" t="str">
        <f t="array" ref="Y48">IF(W48*X48&lt;=5,"BAJO",
IF(W48*X48,"MEDIO",
IF(N48*P23O23*O48&lt;=50,"ALTO",
IF(N48*O48&lt;=100,"CRITICO","INACEPTABLE"))))</f>
        <v>MEDIO</v>
      </c>
      <c r="Z48" s="124" t="str">
        <f t="shared" si="14"/>
        <v>ACEPTABLE CON CONTROL</v>
      </c>
      <c r="AA48" s="124" t="s">
        <v>69</v>
      </c>
      <c r="AB48" s="127"/>
      <c r="AC48" s="127"/>
      <c r="AD48" s="127"/>
      <c r="AE48" s="127"/>
      <c r="AF48" s="127"/>
    </row>
    <row r="49" spans="1:32" s="126" customFormat="1" ht="213" customHeight="1" thickTop="1" thickBot="1" x14ac:dyDescent="0.6">
      <c r="A49" s="245"/>
      <c r="B49" s="117" t="s">
        <v>736</v>
      </c>
      <c r="C49" s="117" t="s">
        <v>62</v>
      </c>
      <c r="D49" s="121"/>
      <c r="E49" s="121"/>
      <c r="F49" s="159" t="s">
        <v>142</v>
      </c>
      <c r="G49" s="146" t="s">
        <v>63</v>
      </c>
      <c r="H49" s="160" t="s">
        <v>171</v>
      </c>
      <c r="I49" s="146" t="s">
        <v>71</v>
      </c>
      <c r="J49" s="146" t="s">
        <v>127</v>
      </c>
      <c r="K49" s="146" t="s">
        <v>172</v>
      </c>
      <c r="L49" s="146" t="s">
        <v>129</v>
      </c>
      <c r="M49" s="146" t="s">
        <v>68</v>
      </c>
      <c r="N49" s="149">
        <v>3</v>
      </c>
      <c r="O49" s="149">
        <v>20</v>
      </c>
      <c r="P49" s="150" t="str">
        <f t="shared" si="8"/>
        <v>CRITICO</v>
      </c>
      <c r="Q49" s="124" t="str">
        <f t="shared" si="9"/>
        <v>INACEPTABLE – DETENER ACTIVIDAD</v>
      </c>
      <c r="R49" s="146" t="s">
        <v>151</v>
      </c>
      <c r="S49" s="146" t="s">
        <v>123</v>
      </c>
      <c r="T49" s="124" t="s">
        <v>1061</v>
      </c>
      <c r="U49" s="146" t="s">
        <v>152</v>
      </c>
      <c r="V49" s="146" t="s">
        <v>99</v>
      </c>
      <c r="W49" s="146">
        <v>1</v>
      </c>
      <c r="X49" s="146">
        <v>20</v>
      </c>
      <c r="Y49" s="150" t="str">
        <f t="array" ref="Y49">IF(W49*X49&lt;=5,"BAJO",
IF(W49*X49,"MEDIO",
IF(N49*P23O23*O49&lt;=50,"ALTO",
IF(N49*O49&lt;=100,"CRITICO","INACEPTABLE"))))</f>
        <v>MEDIO</v>
      </c>
      <c r="Z49" s="124" t="str">
        <f t="shared" si="14"/>
        <v>ACEPTABLE CON CONTROL</v>
      </c>
      <c r="AA49" s="124" t="s">
        <v>69</v>
      </c>
      <c r="AB49" s="127"/>
      <c r="AC49" s="127"/>
      <c r="AD49" s="127"/>
      <c r="AE49" s="127"/>
      <c r="AF49" s="127"/>
    </row>
    <row r="50" spans="1:32" s="126" customFormat="1" ht="213" customHeight="1" thickTop="1" thickBot="1" x14ac:dyDescent="0.6">
      <c r="A50" s="245"/>
      <c r="B50" s="117" t="s">
        <v>173</v>
      </c>
      <c r="C50" s="117" t="s">
        <v>62</v>
      </c>
      <c r="D50" s="121"/>
      <c r="E50" s="121"/>
      <c r="F50" s="159" t="s">
        <v>174</v>
      </c>
      <c r="G50" s="146" t="s">
        <v>63</v>
      </c>
      <c r="H50" s="160" t="s">
        <v>175</v>
      </c>
      <c r="I50" s="146" t="s">
        <v>212</v>
      </c>
      <c r="J50" s="146" t="s">
        <v>176</v>
      </c>
      <c r="K50" s="146" t="s">
        <v>177</v>
      </c>
      <c r="L50" s="146" t="s">
        <v>178</v>
      </c>
      <c r="M50" s="146" t="s">
        <v>68</v>
      </c>
      <c r="N50" s="149">
        <v>3</v>
      </c>
      <c r="O50" s="149">
        <v>5</v>
      </c>
      <c r="P50" s="150" t="str">
        <f t="shared" si="8"/>
        <v>MEDIO</v>
      </c>
      <c r="Q50" s="124" t="str">
        <f t="shared" si="9"/>
        <v>ACEPTABLE CON CONTROL</v>
      </c>
      <c r="R50" s="146" t="s">
        <v>179</v>
      </c>
      <c r="S50" s="146" t="s">
        <v>180</v>
      </c>
      <c r="T50" s="146" t="s">
        <v>181</v>
      </c>
      <c r="U50" s="146" t="s">
        <v>182</v>
      </c>
      <c r="V50" s="146" t="s">
        <v>183</v>
      </c>
      <c r="W50" s="146">
        <v>2</v>
      </c>
      <c r="X50" s="146">
        <v>5</v>
      </c>
      <c r="Y50" s="150" t="str">
        <f t="array" ref="Y50">IF(W50*X50&lt;=5,"BAJO",
IF(W50*X50,"MEDIO",
IF(N50*P23O23*O50&lt;=50,"ALTO",
IF(N50*O50&lt;=100,"CRITICO","INACEPTABLE"))))</f>
        <v>MEDIO</v>
      </c>
      <c r="Z50" s="124" t="str">
        <f t="shared" si="14"/>
        <v>ACEPTABLE CON CONTROL</v>
      </c>
      <c r="AA50" s="124" t="s">
        <v>69</v>
      </c>
      <c r="AB50" s="127"/>
      <c r="AC50" s="127"/>
      <c r="AD50" s="127"/>
      <c r="AE50" s="127"/>
      <c r="AF50" s="127"/>
    </row>
    <row r="51" spans="1:32" s="126" customFormat="1" ht="213" customHeight="1" thickTop="1" thickBot="1" x14ac:dyDescent="0.6">
      <c r="A51" s="245"/>
      <c r="B51" s="117" t="s">
        <v>737</v>
      </c>
      <c r="C51" s="117" t="s">
        <v>62</v>
      </c>
      <c r="D51" s="121"/>
      <c r="E51" s="121"/>
      <c r="F51" s="159" t="s">
        <v>142</v>
      </c>
      <c r="G51" s="146" t="s">
        <v>63</v>
      </c>
      <c r="H51" s="160" t="s">
        <v>184</v>
      </c>
      <c r="I51" s="146" t="s">
        <v>71</v>
      </c>
      <c r="J51" s="146" t="s">
        <v>185</v>
      </c>
      <c r="K51" s="146" t="s">
        <v>186</v>
      </c>
      <c r="L51" s="146" t="s">
        <v>187</v>
      </c>
      <c r="M51" s="146" t="s">
        <v>68</v>
      </c>
      <c r="N51" s="149">
        <v>3</v>
      </c>
      <c r="O51" s="149">
        <v>5</v>
      </c>
      <c r="P51" s="150" t="str">
        <f t="shared" si="8"/>
        <v>MEDIO</v>
      </c>
      <c r="Q51" s="124" t="str">
        <f t="shared" si="9"/>
        <v>ACEPTABLE CON CONTROL</v>
      </c>
      <c r="R51" s="146" t="s">
        <v>188</v>
      </c>
      <c r="S51" s="146" t="s">
        <v>189</v>
      </c>
      <c r="T51" s="146" t="s">
        <v>190</v>
      </c>
      <c r="U51" s="146" t="s">
        <v>191</v>
      </c>
      <c r="V51" s="146" t="s">
        <v>192</v>
      </c>
      <c r="W51" s="146">
        <v>1</v>
      </c>
      <c r="X51" s="146">
        <v>5</v>
      </c>
      <c r="Y51" s="150" t="str">
        <f t="array" ref="Y51">IF(W51*X51&lt;=5,"BAJO",
IF(W51*X51,"MEDIO",
IF(N51*P23O23*O51&lt;=50,"ALTO",
IF(N51*O51&lt;=100,"CRITICO","INACEPTABLE"))))</f>
        <v>BAJO</v>
      </c>
      <c r="Z51" s="124" t="str">
        <f t="shared" si="14"/>
        <v>ACEPTABLE</v>
      </c>
      <c r="AA51" s="124" t="s">
        <v>69</v>
      </c>
      <c r="AB51" s="127"/>
      <c r="AC51" s="127"/>
      <c r="AD51" s="127"/>
      <c r="AE51" s="127"/>
      <c r="AF51" s="127"/>
    </row>
    <row r="52" spans="1:32" s="126" customFormat="1" ht="213" customHeight="1" thickTop="1" thickBot="1" x14ac:dyDescent="0.6">
      <c r="A52" s="245"/>
      <c r="B52" s="117" t="s">
        <v>738</v>
      </c>
      <c r="C52" s="117" t="s">
        <v>62</v>
      </c>
      <c r="D52" s="121"/>
      <c r="E52" s="121"/>
      <c r="F52" s="159" t="s">
        <v>193</v>
      </c>
      <c r="G52" s="146" t="s">
        <v>63</v>
      </c>
      <c r="H52" s="179" t="s">
        <v>194</v>
      </c>
      <c r="I52" s="180" t="s">
        <v>71</v>
      </c>
      <c r="J52" s="180" t="s">
        <v>1085</v>
      </c>
      <c r="K52" s="180" t="s">
        <v>1086</v>
      </c>
      <c r="L52" s="180" t="s">
        <v>1087</v>
      </c>
      <c r="M52" s="146" t="s">
        <v>68</v>
      </c>
      <c r="N52" s="149">
        <v>3</v>
      </c>
      <c r="O52" s="149">
        <v>10</v>
      </c>
      <c r="P52" s="150" t="str">
        <f t="shared" si="8"/>
        <v>ALTO</v>
      </c>
      <c r="Q52" s="124" t="str">
        <f t="shared" si="9"/>
        <v>NO ACEPTABLE</v>
      </c>
      <c r="R52" s="146"/>
      <c r="S52" s="146"/>
      <c r="T52" s="146" t="s">
        <v>1088</v>
      </c>
      <c r="U52" s="146" t="s">
        <v>1089</v>
      </c>
      <c r="V52" s="146" t="s">
        <v>99</v>
      </c>
      <c r="W52" s="146">
        <v>2</v>
      </c>
      <c r="X52" s="146">
        <v>10</v>
      </c>
      <c r="Y52" s="150" t="str">
        <f t="array" ref="Y52">IF(W52*X52&lt;=5,"BAJO",
IF(W52*X52,"MEDIO",
IF(N52*P23O23*O52&lt;=50,"ALTO",
IF(N52*O52&lt;=100,"CRITICO","INACEPTABLE"))))</f>
        <v>MEDIO</v>
      </c>
      <c r="Z52" s="124" t="str">
        <f t="shared" si="14"/>
        <v>ACEPTABLE CON CONTROL</v>
      </c>
      <c r="AA52" s="124" t="s">
        <v>69</v>
      </c>
      <c r="AB52" s="127"/>
      <c r="AC52" s="127"/>
      <c r="AD52" s="127"/>
      <c r="AE52" s="127"/>
      <c r="AF52" s="127"/>
    </row>
    <row r="53" spans="1:32" s="126" customFormat="1" ht="213" customHeight="1" thickTop="1" thickBot="1" x14ac:dyDescent="0.6">
      <c r="A53" s="245"/>
      <c r="B53" s="117" t="s">
        <v>733</v>
      </c>
      <c r="C53" s="121"/>
      <c r="D53" s="117" t="s">
        <v>62</v>
      </c>
      <c r="E53" s="121"/>
      <c r="F53" s="159" t="s">
        <v>201</v>
      </c>
      <c r="G53" s="146" t="s">
        <v>63</v>
      </c>
      <c r="H53" s="160" t="s">
        <v>202</v>
      </c>
      <c r="I53" s="146" t="s">
        <v>71</v>
      </c>
      <c r="J53" s="146" t="s">
        <v>203</v>
      </c>
      <c r="K53" s="146" t="s">
        <v>204</v>
      </c>
      <c r="L53" s="146" t="s">
        <v>205</v>
      </c>
      <c r="M53" s="146" t="s">
        <v>68</v>
      </c>
      <c r="N53" s="149">
        <v>2</v>
      </c>
      <c r="O53" s="149">
        <v>5</v>
      </c>
      <c r="P53" s="150" t="str">
        <f t="shared" si="8"/>
        <v>MEDIO</v>
      </c>
      <c r="Q53" s="124" t="str">
        <f t="shared" si="9"/>
        <v>ACEPTABLE CON CONTROL</v>
      </c>
      <c r="R53" s="146" t="s">
        <v>206</v>
      </c>
      <c r="S53" s="146" t="s">
        <v>207</v>
      </c>
      <c r="T53" s="146" t="s">
        <v>208</v>
      </c>
      <c r="U53" s="146" t="s">
        <v>209</v>
      </c>
      <c r="V53" s="146" t="s">
        <v>210</v>
      </c>
      <c r="W53" s="146">
        <v>1</v>
      </c>
      <c r="X53" s="146">
        <v>5</v>
      </c>
      <c r="Y53" s="150" t="str">
        <f t="array" ref="Y53">IF(W53*X53&lt;=5,"BAJO",
IF(W53*X53,"MEDIO",
IF(N53*P23O23*O53&lt;=50,"ALTO",
IF(N53*O53&lt;=100,"CRITICO","INACEPTABLE"))))</f>
        <v>BAJO</v>
      </c>
      <c r="Z53" s="124" t="str">
        <f t="shared" si="14"/>
        <v>ACEPTABLE</v>
      </c>
      <c r="AA53" s="124" t="s">
        <v>69</v>
      </c>
      <c r="AB53" s="127"/>
      <c r="AC53" s="127"/>
      <c r="AD53" s="127"/>
      <c r="AE53" s="127"/>
      <c r="AF53" s="127"/>
    </row>
    <row r="54" spans="1:32" s="126" customFormat="1" ht="213" customHeight="1" thickTop="1" thickBot="1" x14ac:dyDescent="0.6">
      <c r="A54" s="245"/>
      <c r="B54" s="117" t="s">
        <v>732</v>
      </c>
      <c r="C54" s="117" t="s">
        <v>62</v>
      </c>
      <c r="D54" s="121"/>
      <c r="E54" s="121"/>
      <c r="F54" s="145" t="s">
        <v>142</v>
      </c>
      <c r="G54" s="146" t="s">
        <v>63</v>
      </c>
      <c r="H54" s="160" t="s">
        <v>211</v>
      </c>
      <c r="I54" s="146" t="s">
        <v>212</v>
      </c>
      <c r="J54" s="146" t="s">
        <v>213</v>
      </c>
      <c r="K54" s="146" t="s">
        <v>214</v>
      </c>
      <c r="L54" s="146" t="s">
        <v>215</v>
      </c>
      <c r="M54" s="146" t="s">
        <v>68</v>
      </c>
      <c r="N54" s="149">
        <v>3</v>
      </c>
      <c r="O54" s="149">
        <v>10</v>
      </c>
      <c r="P54" s="150" t="str">
        <f t="shared" si="8"/>
        <v>ALTO</v>
      </c>
      <c r="Q54" s="124" t="str">
        <f t="shared" si="9"/>
        <v>NO ACEPTABLE</v>
      </c>
      <c r="R54" s="146" t="s">
        <v>196</v>
      </c>
      <c r="S54" s="146" t="s">
        <v>197</v>
      </c>
      <c r="T54" s="146" t="s">
        <v>198</v>
      </c>
      <c r="U54" s="146" t="s">
        <v>199</v>
      </c>
      <c r="V54" s="146" t="s">
        <v>200</v>
      </c>
      <c r="W54" s="146">
        <v>2</v>
      </c>
      <c r="X54" s="146">
        <v>5</v>
      </c>
      <c r="Y54" s="150" t="str">
        <f t="array" ref="Y54">IF(W54*X54&lt;=5,"BAJO",
IF(W54*X54,"MEDIO",
IF(N54*P23O23*O54&lt;=50,"ALTO",
IF(N54*O54&lt;=100,"CRITICO","INACEPTABLE"))))</f>
        <v>MEDIO</v>
      </c>
      <c r="Z54" s="124" t="str">
        <f t="shared" si="14"/>
        <v>ACEPTABLE CON CONTROL</v>
      </c>
      <c r="AA54" s="124" t="s">
        <v>69</v>
      </c>
      <c r="AB54" s="127"/>
      <c r="AC54" s="127"/>
      <c r="AD54" s="127"/>
      <c r="AE54" s="127"/>
      <c r="AF54" s="127"/>
    </row>
    <row r="55" spans="1:32" s="126" customFormat="1" ht="213" customHeight="1" thickTop="1" thickBot="1" x14ac:dyDescent="0.6">
      <c r="A55" s="245"/>
      <c r="B55" s="121" t="s">
        <v>739</v>
      </c>
      <c r="C55" s="121"/>
      <c r="D55" s="117" t="s">
        <v>62</v>
      </c>
      <c r="E55" s="121"/>
      <c r="F55" s="145" t="s">
        <v>216</v>
      </c>
      <c r="G55" s="146" t="s">
        <v>63</v>
      </c>
      <c r="H55" s="161" t="s">
        <v>899</v>
      </c>
      <c r="I55" s="162" t="s">
        <v>64</v>
      </c>
      <c r="J55" s="115" t="s">
        <v>760</v>
      </c>
      <c r="K55" s="163" t="s">
        <v>235</v>
      </c>
      <c r="L55" s="153" t="s">
        <v>761</v>
      </c>
      <c r="M55" s="146" t="s">
        <v>68</v>
      </c>
      <c r="N55" s="164">
        <v>2</v>
      </c>
      <c r="O55" s="164">
        <v>2</v>
      </c>
      <c r="P55" s="150" t="str">
        <f t="shared" si="8"/>
        <v>BAJO</v>
      </c>
      <c r="Q55" s="124" t="str">
        <f t="shared" si="9"/>
        <v>ACEPTABLE</v>
      </c>
      <c r="R55" s="146" t="s">
        <v>220</v>
      </c>
      <c r="S55" s="146" t="s">
        <v>180</v>
      </c>
      <c r="T55" s="146" t="s">
        <v>221</v>
      </c>
      <c r="U55" s="146" t="s">
        <v>199</v>
      </c>
      <c r="V55" s="146" t="s">
        <v>222</v>
      </c>
      <c r="W55" s="146">
        <v>1</v>
      </c>
      <c r="X55" s="146">
        <v>2</v>
      </c>
      <c r="Y55" s="150" t="str">
        <f t="array" ref="Y55">IF(W55*X55&lt;=5,"BAJO",
IF(W55*X55,"MEDIO",
IF(N55*P23O23*O55&lt;=50,"ALTO",
IF(N55*O55&lt;=100,"CRITICO","INACEPTABLE"))))</f>
        <v>BAJO</v>
      </c>
      <c r="Z55" s="124" t="str">
        <f t="shared" si="14"/>
        <v>ACEPTABLE</v>
      </c>
      <c r="AA55" s="124" t="s">
        <v>69</v>
      </c>
      <c r="AB55" s="127"/>
      <c r="AC55" s="127"/>
      <c r="AD55" s="127"/>
      <c r="AE55" s="127"/>
      <c r="AF55" s="127"/>
    </row>
    <row r="56" spans="1:32" s="126" customFormat="1" ht="213" customHeight="1" thickTop="1" thickBot="1" x14ac:dyDescent="0.6">
      <c r="A56" s="245"/>
      <c r="B56" s="117" t="s">
        <v>900</v>
      </c>
      <c r="C56" s="117" t="s">
        <v>62</v>
      </c>
      <c r="D56" s="121"/>
      <c r="E56" s="121"/>
      <c r="F56" s="145" t="s">
        <v>223</v>
      </c>
      <c r="G56" s="146" t="s">
        <v>63</v>
      </c>
      <c r="H56" s="160" t="s">
        <v>224</v>
      </c>
      <c r="I56" s="146" t="s">
        <v>64</v>
      </c>
      <c r="J56" s="153" t="s">
        <v>225</v>
      </c>
      <c r="K56" s="146" t="s">
        <v>226</v>
      </c>
      <c r="L56" s="146" t="s">
        <v>227</v>
      </c>
      <c r="M56" s="146" t="s">
        <v>68</v>
      </c>
      <c r="N56" s="149">
        <v>3</v>
      </c>
      <c r="O56" s="149">
        <v>2</v>
      </c>
      <c r="P56" s="150" t="str">
        <f t="shared" si="8"/>
        <v>MEDIO</v>
      </c>
      <c r="Q56" s="124" t="str">
        <f t="shared" si="9"/>
        <v>ACEPTABLE CON CONTROL</v>
      </c>
      <c r="R56" s="146" t="s">
        <v>228</v>
      </c>
      <c r="S56" s="146" t="s">
        <v>229</v>
      </c>
      <c r="T56" s="146" t="s">
        <v>230</v>
      </c>
      <c r="U56" s="146" t="s">
        <v>231</v>
      </c>
      <c r="V56" s="146" t="s">
        <v>150</v>
      </c>
      <c r="W56" s="146">
        <v>1</v>
      </c>
      <c r="X56" s="146">
        <v>2</v>
      </c>
      <c r="Y56" s="150" t="str">
        <f t="array" ref="Y56">IF(W56*X56&lt;=5,"BAJO",
IF(W56*X56,"MEDIO",
IF(N56*P23O23*O56&lt;=50,"ALTO",
IF(N56*O56&lt;=100,"CRITICO","INACEPTABLE"))))</f>
        <v>BAJO</v>
      </c>
      <c r="Z56" s="124" t="str">
        <f t="shared" si="14"/>
        <v>ACEPTABLE</v>
      </c>
      <c r="AA56" s="124" t="s">
        <v>69</v>
      </c>
      <c r="AB56" s="127"/>
      <c r="AC56" s="127"/>
      <c r="AD56" s="127"/>
      <c r="AE56" s="127"/>
      <c r="AF56" s="127"/>
    </row>
    <row r="57" spans="1:32" s="126" customFormat="1" ht="213" customHeight="1" thickTop="1" thickBot="1" x14ac:dyDescent="0.6">
      <c r="A57" s="246"/>
      <c r="B57" s="117" t="s">
        <v>740</v>
      </c>
      <c r="C57" s="117" t="s">
        <v>62</v>
      </c>
      <c r="D57" s="121"/>
      <c r="E57" s="121"/>
      <c r="F57" s="145" t="s">
        <v>232</v>
      </c>
      <c r="G57" s="146" t="s">
        <v>63</v>
      </c>
      <c r="H57" s="161" t="s">
        <v>233</v>
      </c>
      <c r="I57" s="162" t="s">
        <v>64</v>
      </c>
      <c r="J57" s="117" t="s">
        <v>234</v>
      </c>
      <c r="K57" s="163" t="s">
        <v>235</v>
      </c>
      <c r="L57" s="153" t="s">
        <v>236</v>
      </c>
      <c r="M57" s="146" t="s">
        <v>68</v>
      </c>
      <c r="N57" s="164">
        <v>3</v>
      </c>
      <c r="O57" s="164">
        <v>2</v>
      </c>
      <c r="P57" s="150" t="str">
        <f t="shared" si="8"/>
        <v>MEDIO</v>
      </c>
      <c r="Q57" s="124" t="str">
        <f t="shared" si="9"/>
        <v>ACEPTABLE CON CONTROL</v>
      </c>
      <c r="R57" s="146" t="s">
        <v>146</v>
      </c>
      <c r="S57" s="146" t="s">
        <v>147</v>
      </c>
      <c r="T57" s="146" t="s">
        <v>148</v>
      </c>
      <c r="U57" s="146" t="s">
        <v>149</v>
      </c>
      <c r="V57" s="146" t="s">
        <v>150</v>
      </c>
      <c r="W57" s="146">
        <v>2</v>
      </c>
      <c r="X57" s="146">
        <v>2</v>
      </c>
      <c r="Y57" s="150" t="str">
        <f t="array" ref="Y57">IF(W57*X57&lt;=5,"BAJO",
IF(W57*X57,"MEDIO",
IF(N57*P23O23*O57&lt;=50,"ALTO",
IF(N57*O57&lt;=100,"CRITICO","INACEPTABLE"))))</f>
        <v>BAJO</v>
      </c>
      <c r="Z57" s="124" t="str">
        <f t="shared" si="14"/>
        <v>ACEPTABLE</v>
      </c>
      <c r="AA57" s="124" t="s">
        <v>69</v>
      </c>
      <c r="AB57" s="127"/>
      <c r="AC57" s="127"/>
      <c r="AD57" s="127"/>
      <c r="AE57" s="127"/>
      <c r="AF57" s="127"/>
    </row>
    <row r="58" spans="1:32" s="126" customFormat="1" ht="200.45" customHeight="1" thickTop="1" thickBot="1" x14ac:dyDescent="0.6">
      <c r="A58" s="217" t="s">
        <v>762</v>
      </c>
      <c r="B58" s="244" t="s">
        <v>911</v>
      </c>
      <c r="C58" s="117" t="s">
        <v>62</v>
      </c>
      <c r="D58" s="121"/>
      <c r="E58" s="121"/>
      <c r="F58" s="145" t="s">
        <v>801</v>
      </c>
      <c r="G58" s="146" t="s">
        <v>63</v>
      </c>
      <c r="H58" s="161" t="s">
        <v>804</v>
      </c>
      <c r="I58" s="162" t="s">
        <v>71</v>
      </c>
      <c r="J58" s="117" t="s">
        <v>775</v>
      </c>
      <c r="K58" s="117" t="s">
        <v>836</v>
      </c>
      <c r="L58" s="163" t="s">
        <v>837</v>
      </c>
      <c r="M58" s="146" t="s">
        <v>68</v>
      </c>
      <c r="N58" s="164">
        <v>5</v>
      </c>
      <c r="O58" s="164">
        <v>20</v>
      </c>
      <c r="P58" s="150" t="str">
        <f t="shared" si="8"/>
        <v>CRITICO</v>
      </c>
      <c r="Q58" s="124" t="str">
        <f t="shared" si="9"/>
        <v>INACEPTABLE – DETENER ACTIVIDAD</v>
      </c>
      <c r="R58" s="146"/>
      <c r="S58" s="146"/>
      <c r="T58" s="146" t="s">
        <v>880</v>
      </c>
      <c r="U58" s="146" t="s">
        <v>881</v>
      </c>
      <c r="V58" s="146" t="s">
        <v>882</v>
      </c>
      <c r="W58" s="146">
        <v>2</v>
      </c>
      <c r="X58" s="146">
        <v>20</v>
      </c>
      <c r="Y58" s="150" t="str">
        <f t="array" ref="Y58">IF(W58*X58&lt;=5,"BAJO",
IF(W58*X58,"MEDIO",
IF(N58*P23O23*O58&lt;=50,"ALTO",
IF(N58*O58&lt;=100,"CRITICO","INACEPTABLE"))))</f>
        <v>MEDIO</v>
      </c>
      <c r="Z58" s="124" t="str">
        <f t="shared" ref="Z58" si="16">IF(W58*X58&lt;=5,"ACEPTABLE",
IF(W58*X58&lt;=20,"ACEPTABLE CON CONTROL",
IF(W58*X58&lt;=50,"NO ACEPTABLE",
IF(W58*X58&lt;=100,"INACEPTABLE – DETENER ACTIVIDAD",
"INACEPTABLE – DETENER INMEDIATAMENTE"))))</f>
        <v>NO ACEPTABLE</v>
      </c>
      <c r="AA58" s="124" t="s">
        <v>69</v>
      </c>
      <c r="AB58" s="127"/>
      <c r="AC58" s="127"/>
      <c r="AD58" s="127"/>
      <c r="AE58" s="127"/>
      <c r="AF58" s="127"/>
    </row>
    <row r="59" spans="1:32" s="126" customFormat="1" ht="200.45" customHeight="1" thickTop="1" thickBot="1" x14ac:dyDescent="0.6">
      <c r="A59" s="218"/>
      <c r="B59" s="246"/>
      <c r="C59" s="117" t="s">
        <v>62</v>
      </c>
      <c r="D59" s="121"/>
      <c r="E59" s="121"/>
      <c r="F59" s="145" t="s">
        <v>748</v>
      </c>
      <c r="G59" s="146" t="s">
        <v>63</v>
      </c>
      <c r="H59" s="161" t="s">
        <v>750</v>
      </c>
      <c r="I59" s="162" t="s">
        <v>76</v>
      </c>
      <c r="J59" s="117" t="s">
        <v>751</v>
      </c>
      <c r="K59" s="163" t="s">
        <v>177</v>
      </c>
      <c r="L59" s="153" t="s">
        <v>178</v>
      </c>
      <c r="M59" s="146" t="s">
        <v>68</v>
      </c>
      <c r="N59" s="164">
        <v>3</v>
      </c>
      <c r="O59" s="164">
        <v>5</v>
      </c>
      <c r="P59" s="150" t="str">
        <f t="shared" ref="P59" si="17">IF(N59*O59&lt;=5,"BAJO",
IF(N59*O59&lt;=20,"MEDIO",
IF(N59*O59&lt;=50,"ALTO",
IF(N59*O59&lt;=100,"CRITICO","INACEPTABLE"))))</f>
        <v>MEDIO</v>
      </c>
      <c r="Q59" s="124" t="str">
        <f t="shared" ref="Q59" si="18">IF(N59*O59&lt;=5,"ACEPTABLE",
IF(N59*O59&lt;=20,"ACEPTABLE CON CONTROL",
IF(N59*O59&lt;=50,"NO ACEPTABLE",
IF(N59*O59&lt;=100,"INACEPTABLE – DETENER ACTIVIDAD",
"INACEPTABLE – DETENER INMEDIATAMENTE"))))</f>
        <v>ACEPTABLE CON CONTROL</v>
      </c>
      <c r="R59" s="146" t="s">
        <v>179</v>
      </c>
      <c r="S59" s="146" t="s">
        <v>180</v>
      </c>
      <c r="T59" s="146" t="s">
        <v>181</v>
      </c>
      <c r="U59" s="146" t="s">
        <v>182</v>
      </c>
      <c r="V59" s="146" t="s">
        <v>200</v>
      </c>
      <c r="W59" s="146">
        <v>2</v>
      </c>
      <c r="X59" s="146">
        <v>5</v>
      </c>
      <c r="Y59" s="150" t="str">
        <f t="array" ref="Y59">IF(W59*X59&lt;=5,"BAJO",
IF(W59*X59,"MEDIO",
IF(N59*P23O23*O59&lt;=50,"ALTO",
IF(N59*O59&lt;=100,"CRITICO","INACEPTABLE"))))</f>
        <v>MEDIO</v>
      </c>
      <c r="Z59" s="124" t="str">
        <f t="shared" ref="Z59" si="19">IF(W59*X59&lt;=5,"ACEPTABLE",
IF(W59*X59&lt;=20,"ACEPTABLE CON CONTROL",
IF(W59*X59&lt;=50,"NO ACEPTABLE",
IF(W59*X59&lt;=100,"INACEPTABLE – DETENER ACTIVIDAD",
"INACEPTABLE – DETENER INMEDIATAMENTE"))))</f>
        <v>ACEPTABLE CON CONTROL</v>
      </c>
      <c r="AA59" s="124" t="s">
        <v>69</v>
      </c>
      <c r="AB59" s="127"/>
      <c r="AC59" s="127"/>
      <c r="AD59" s="127"/>
      <c r="AE59" s="127"/>
      <c r="AF59" s="127"/>
    </row>
    <row r="60" spans="1:32" s="126" customFormat="1" ht="200.45" customHeight="1" thickTop="1" thickBot="1" x14ac:dyDescent="0.6">
      <c r="A60" s="218"/>
      <c r="B60" s="244" t="s">
        <v>912</v>
      </c>
      <c r="C60" s="117" t="s">
        <v>62</v>
      </c>
      <c r="D60" s="121"/>
      <c r="E60" s="121"/>
      <c r="F60" s="145" t="s">
        <v>741</v>
      </c>
      <c r="G60" s="146" t="s">
        <v>63</v>
      </c>
      <c r="H60" s="161" t="s">
        <v>742</v>
      </c>
      <c r="I60" s="162" t="s">
        <v>71</v>
      </c>
      <c r="J60" s="117" t="s">
        <v>743</v>
      </c>
      <c r="K60" s="163" t="s">
        <v>186</v>
      </c>
      <c r="L60" s="153" t="s">
        <v>187</v>
      </c>
      <c r="M60" s="146" t="s">
        <v>68</v>
      </c>
      <c r="N60" s="164">
        <v>3</v>
      </c>
      <c r="O60" s="164">
        <v>5</v>
      </c>
      <c r="P60" s="150" t="str">
        <f t="shared" si="8"/>
        <v>MEDIO</v>
      </c>
      <c r="Q60" s="124" t="str">
        <f t="shared" si="9"/>
        <v>ACEPTABLE CON CONTROL</v>
      </c>
      <c r="R60" s="146" t="s">
        <v>188</v>
      </c>
      <c r="S60" s="146" t="s">
        <v>189</v>
      </c>
      <c r="T60" s="146" t="s">
        <v>190</v>
      </c>
      <c r="U60" s="146" t="s">
        <v>191</v>
      </c>
      <c r="V60" s="146" t="s">
        <v>192</v>
      </c>
      <c r="W60" s="146">
        <v>1</v>
      </c>
      <c r="X60" s="146">
        <v>5</v>
      </c>
      <c r="Y60" s="150" t="str">
        <f t="array" ref="Y60">IF(W60*X60&lt;=5,"BAJO",
IF(W60*X60,"MEDIO",
IF(N60*P23O23*O60&lt;=50,"ALTO",
IF(N60*O60&lt;=100,"CRITICO","INACEPTABLE"))))</f>
        <v>BAJO</v>
      </c>
      <c r="Z60" s="124" t="str">
        <f t="shared" si="14"/>
        <v>ACEPTABLE</v>
      </c>
      <c r="AA60" s="124" t="s">
        <v>69</v>
      </c>
      <c r="AB60" s="127"/>
      <c r="AC60" s="127"/>
      <c r="AD60" s="127"/>
      <c r="AE60" s="127"/>
      <c r="AF60" s="127"/>
    </row>
    <row r="61" spans="1:32" s="126" customFormat="1" ht="200.45" customHeight="1" thickTop="1" thickBot="1" x14ac:dyDescent="0.6">
      <c r="A61" s="218"/>
      <c r="B61" s="245"/>
      <c r="C61" s="117" t="s">
        <v>62</v>
      </c>
      <c r="D61" s="121"/>
      <c r="E61" s="121"/>
      <c r="F61" s="145" t="s">
        <v>741</v>
      </c>
      <c r="G61" s="146" t="s">
        <v>63</v>
      </c>
      <c r="H61" s="161" t="s">
        <v>744</v>
      </c>
      <c r="I61" s="162" t="s">
        <v>76</v>
      </c>
      <c r="J61" s="117" t="s">
        <v>217</v>
      </c>
      <c r="K61" s="163" t="s">
        <v>218</v>
      </c>
      <c r="L61" s="153" t="s">
        <v>219</v>
      </c>
      <c r="M61" s="146" t="s">
        <v>68</v>
      </c>
      <c r="N61" s="164">
        <v>2</v>
      </c>
      <c r="O61" s="164">
        <v>2</v>
      </c>
      <c r="P61" s="150" t="str">
        <f t="shared" si="8"/>
        <v>BAJO</v>
      </c>
      <c r="Q61" s="124" t="str">
        <f t="shared" si="9"/>
        <v>ACEPTABLE</v>
      </c>
      <c r="R61" s="146" t="s">
        <v>220</v>
      </c>
      <c r="S61" s="146" t="s">
        <v>180</v>
      </c>
      <c r="T61" s="146" t="s">
        <v>221</v>
      </c>
      <c r="U61" s="146" t="s">
        <v>199</v>
      </c>
      <c r="V61" s="146" t="s">
        <v>222</v>
      </c>
      <c r="W61" s="146">
        <v>1</v>
      </c>
      <c r="X61" s="146">
        <v>2</v>
      </c>
      <c r="Y61" s="150" t="str">
        <f t="array" ref="Y61">IF(W61*X61&lt;=5,"BAJO",
IF(W61*X61,"MEDIO",
IF(N61*P23O23*O61&lt;=50,"ALTO",
IF(N61*O61&lt;=100,"CRITICO","INACEPTABLE"))))</f>
        <v>BAJO</v>
      </c>
      <c r="Z61" s="124" t="str">
        <f t="shared" si="14"/>
        <v>ACEPTABLE</v>
      </c>
      <c r="AA61" s="124" t="s">
        <v>69</v>
      </c>
      <c r="AB61" s="127"/>
      <c r="AC61" s="127"/>
      <c r="AD61" s="127"/>
      <c r="AE61" s="127"/>
      <c r="AF61" s="127"/>
    </row>
    <row r="62" spans="1:32" s="126" customFormat="1" ht="200.45" customHeight="1" thickTop="1" thickBot="1" x14ac:dyDescent="0.6">
      <c r="A62" s="218"/>
      <c r="B62" s="246"/>
      <c r="C62" s="117" t="s">
        <v>62</v>
      </c>
      <c r="D62" s="121"/>
      <c r="E62" s="121"/>
      <c r="F62" s="145" t="s">
        <v>741</v>
      </c>
      <c r="G62" s="146" t="s">
        <v>63</v>
      </c>
      <c r="H62" s="161" t="s">
        <v>745</v>
      </c>
      <c r="I62" s="117" t="s">
        <v>64</v>
      </c>
      <c r="J62" s="116" t="s">
        <v>746</v>
      </c>
      <c r="K62" s="117" t="s">
        <v>235</v>
      </c>
      <c r="L62" s="117" t="s">
        <v>747</v>
      </c>
      <c r="M62" s="152" t="s">
        <v>68</v>
      </c>
      <c r="N62" s="164">
        <v>3</v>
      </c>
      <c r="O62" s="164">
        <v>2</v>
      </c>
      <c r="P62" s="150" t="str">
        <f t="shared" si="8"/>
        <v>MEDIO</v>
      </c>
      <c r="Q62" s="124" t="str">
        <f t="shared" si="9"/>
        <v>ACEPTABLE CON CONTROL</v>
      </c>
      <c r="R62" s="146" t="s">
        <v>146</v>
      </c>
      <c r="S62" s="146" t="s">
        <v>147</v>
      </c>
      <c r="T62" s="146" t="s">
        <v>148</v>
      </c>
      <c r="U62" s="146" t="s">
        <v>149</v>
      </c>
      <c r="V62" s="146" t="s">
        <v>150</v>
      </c>
      <c r="W62" s="146">
        <v>2</v>
      </c>
      <c r="X62" s="146">
        <v>2</v>
      </c>
      <c r="Y62" s="150" t="str">
        <f t="array" ref="Y62">IF(W62*X62&lt;=5,"BAJO",
IF(W62*X62,"MEDIO",
IF(N62*P23O23*O62&lt;=50,"ALTO",
IF(N62*O62&lt;=100,"CRITICO","INACEPTABLE"))))</f>
        <v>BAJO</v>
      </c>
      <c r="Z62" s="124" t="str">
        <f t="shared" si="14"/>
        <v>ACEPTABLE</v>
      </c>
      <c r="AA62" s="124" t="s">
        <v>69</v>
      </c>
      <c r="AB62" s="127"/>
      <c r="AC62" s="127"/>
      <c r="AD62" s="127"/>
      <c r="AE62" s="127"/>
      <c r="AF62" s="127"/>
    </row>
    <row r="63" spans="1:32" s="126" customFormat="1" ht="200.45" customHeight="1" thickTop="1" thickBot="1" x14ac:dyDescent="0.6">
      <c r="A63" s="218"/>
      <c r="B63" s="117" t="s">
        <v>733</v>
      </c>
      <c r="C63" s="121"/>
      <c r="D63" s="117" t="s">
        <v>62</v>
      </c>
      <c r="E63" s="121"/>
      <c r="F63" s="159" t="s">
        <v>201</v>
      </c>
      <c r="G63" s="146" t="s">
        <v>63</v>
      </c>
      <c r="H63" s="160" t="s">
        <v>202</v>
      </c>
      <c r="I63" s="146" t="s">
        <v>71</v>
      </c>
      <c r="J63" s="146" t="s">
        <v>203</v>
      </c>
      <c r="K63" s="146" t="s">
        <v>204</v>
      </c>
      <c r="L63" s="146" t="s">
        <v>205</v>
      </c>
      <c r="M63" s="146" t="s">
        <v>68</v>
      </c>
      <c r="N63" s="149">
        <v>2</v>
      </c>
      <c r="O63" s="149">
        <v>5</v>
      </c>
      <c r="P63" s="150" t="str">
        <f t="shared" ref="P63" si="20">IF(N63*O63&lt;=5,"BAJO",
IF(N63*O63&lt;=20,"MEDIO",
IF(N63*O63&lt;=50,"ALTO",
IF(N63*O63&lt;=100,"CRITICO","INACEPTABLE"))))</f>
        <v>MEDIO</v>
      </c>
      <c r="Q63" s="124" t="str">
        <f t="shared" ref="Q63" si="21">IF(N63*O63&lt;=5,"ACEPTABLE",
IF(N63*O63&lt;=20,"ACEPTABLE CON CONTROL",
IF(N63*O63&lt;=50,"NO ACEPTABLE",
IF(N63*O63&lt;=100,"INACEPTABLE – DETENER ACTIVIDAD",
"INACEPTABLE – DETENER INMEDIATAMENTE"))))</f>
        <v>ACEPTABLE CON CONTROL</v>
      </c>
      <c r="R63" s="146" t="s">
        <v>206</v>
      </c>
      <c r="S63" s="146" t="s">
        <v>207</v>
      </c>
      <c r="T63" s="146" t="s">
        <v>208</v>
      </c>
      <c r="U63" s="146" t="s">
        <v>209</v>
      </c>
      <c r="V63" s="146" t="s">
        <v>210</v>
      </c>
      <c r="W63" s="146">
        <v>1</v>
      </c>
      <c r="X63" s="146">
        <v>5</v>
      </c>
      <c r="Y63" s="150" t="str">
        <f t="array" ref="Y63">IF(W63*X63&lt;=5,"BAJO",
IF(W63*X63,"MEDIO",
IF(N63*P23O23*O63&lt;=50,"ALTO",
IF(N63*O63&lt;=100,"CRITICO","INACEPTABLE"))))</f>
        <v>BAJO</v>
      </c>
      <c r="Z63" s="124" t="str">
        <f t="shared" ref="Z63" si="22">IF(W63*X63&lt;=5,"ACEPTABLE",
IF(W63*X63&lt;=20,"ACEPTABLE CON CONTROL",
IF(W63*X63&lt;=50,"NO ACEPTABLE",
IF(W63*X63&lt;=100,"INACEPTABLE – DETENER ACTIVIDAD",
"INACEPTABLE – DETENER INMEDIATAMENTE"))))</f>
        <v>ACEPTABLE</v>
      </c>
      <c r="AA63" s="124" t="s">
        <v>69</v>
      </c>
      <c r="AB63" s="127"/>
      <c r="AC63" s="127"/>
      <c r="AD63" s="127"/>
      <c r="AE63" s="127"/>
      <c r="AF63" s="127"/>
    </row>
    <row r="64" spans="1:32" s="126" customFormat="1" ht="200.45" customHeight="1" thickTop="1" thickBot="1" x14ac:dyDescent="0.6">
      <c r="A64" s="218"/>
      <c r="B64" s="244" t="s">
        <v>910</v>
      </c>
      <c r="C64" s="117" t="s">
        <v>62</v>
      </c>
      <c r="D64" s="121"/>
      <c r="E64" s="121"/>
      <c r="F64" s="145" t="s">
        <v>741</v>
      </c>
      <c r="G64" s="146" t="s">
        <v>63</v>
      </c>
      <c r="H64" s="161" t="s">
        <v>752</v>
      </c>
      <c r="I64" s="162" t="s">
        <v>71</v>
      </c>
      <c r="J64" s="117" t="s">
        <v>753</v>
      </c>
      <c r="K64" s="163" t="s">
        <v>195</v>
      </c>
      <c r="L64" s="153" t="s">
        <v>135</v>
      </c>
      <c r="M64" s="146" t="s">
        <v>68</v>
      </c>
      <c r="N64" s="164">
        <v>3</v>
      </c>
      <c r="O64" s="164">
        <v>5</v>
      </c>
      <c r="P64" s="150" t="str">
        <f t="shared" si="8"/>
        <v>MEDIO</v>
      </c>
      <c r="Q64" s="124" t="str">
        <f t="shared" si="9"/>
        <v>ACEPTABLE CON CONTROL</v>
      </c>
      <c r="R64" s="146" t="s">
        <v>763</v>
      </c>
      <c r="S64" s="146" t="s">
        <v>764</v>
      </c>
      <c r="T64" s="146" t="s">
        <v>765</v>
      </c>
      <c r="U64" s="146" t="s">
        <v>199</v>
      </c>
      <c r="V64" s="146" t="s">
        <v>200</v>
      </c>
      <c r="W64" s="146">
        <v>2</v>
      </c>
      <c r="X64" s="146">
        <v>5</v>
      </c>
      <c r="Y64" s="150" t="str">
        <f t="array" ref="Y64">IF(W64*X64&lt;=5,"BAJO",
IF(W64*X64,"MEDIO",
IF(N64*P23O23*O64&lt;=50,"ALTO",
IF(N64*O64&lt;=100,"CRITICO","INACEPTABLE"))))</f>
        <v>MEDIO</v>
      </c>
      <c r="Z64" s="124" t="str">
        <f t="shared" si="14"/>
        <v>ACEPTABLE CON CONTROL</v>
      </c>
      <c r="AA64" s="124" t="s">
        <v>69</v>
      </c>
      <c r="AB64" s="127"/>
      <c r="AC64" s="127"/>
      <c r="AD64" s="127"/>
      <c r="AE64" s="127"/>
      <c r="AF64" s="127"/>
    </row>
    <row r="65" spans="1:32" s="126" customFormat="1" ht="200.45" customHeight="1" thickTop="1" thickBot="1" x14ac:dyDescent="0.6">
      <c r="A65" s="218"/>
      <c r="B65" s="245"/>
      <c r="C65" s="117" t="s">
        <v>62</v>
      </c>
      <c r="D65" s="121"/>
      <c r="E65" s="121"/>
      <c r="F65" s="145" t="s">
        <v>741</v>
      </c>
      <c r="G65" s="146" t="s">
        <v>63</v>
      </c>
      <c r="H65" s="161" t="s">
        <v>754</v>
      </c>
      <c r="I65" s="162" t="s">
        <v>212</v>
      </c>
      <c r="J65" s="117" t="s">
        <v>755</v>
      </c>
      <c r="K65" s="163" t="s">
        <v>214</v>
      </c>
      <c r="L65" s="153" t="s">
        <v>756</v>
      </c>
      <c r="M65" s="146" t="s">
        <v>68</v>
      </c>
      <c r="N65" s="164">
        <v>3</v>
      </c>
      <c r="O65" s="164">
        <v>10</v>
      </c>
      <c r="P65" s="150" t="str">
        <f t="shared" si="8"/>
        <v>ALTO</v>
      </c>
      <c r="Q65" s="124" t="str">
        <f t="shared" si="9"/>
        <v>NO ACEPTABLE</v>
      </c>
      <c r="R65" s="146" t="s">
        <v>766</v>
      </c>
      <c r="S65" s="146" t="s">
        <v>767</v>
      </c>
      <c r="T65" s="146" t="s">
        <v>768</v>
      </c>
      <c r="U65" s="146" t="s">
        <v>199</v>
      </c>
      <c r="V65" s="146" t="s">
        <v>769</v>
      </c>
      <c r="W65" s="146">
        <v>2</v>
      </c>
      <c r="X65" s="146">
        <v>5</v>
      </c>
      <c r="Y65" s="150" t="str">
        <f t="array" ref="Y65">IF(W65*X65&lt;=5,"BAJO",
IF(W65*X65,"MEDIO",
IF(N65*P23O23*O65&lt;=50,"ALTO",
IF(N65*O65&lt;=100,"CRITICO","INACEPTABLE"))))</f>
        <v>MEDIO</v>
      </c>
      <c r="Z65" s="124" t="str">
        <f t="shared" si="14"/>
        <v>ACEPTABLE CON CONTROL</v>
      </c>
      <c r="AA65" s="124" t="s">
        <v>69</v>
      </c>
      <c r="AB65" s="127"/>
      <c r="AC65" s="127"/>
      <c r="AD65" s="127"/>
      <c r="AE65" s="127"/>
      <c r="AF65" s="127"/>
    </row>
    <row r="66" spans="1:32" s="126" customFormat="1" ht="200.45" customHeight="1" thickTop="1" thickBot="1" x14ac:dyDescent="0.6">
      <c r="A66" s="218"/>
      <c r="B66" s="245"/>
      <c r="C66" s="117" t="s">
        <v>62</v>
      </c>
      <c r="D66" s="121"/>
      <c r="E66" s="121"/>
      <c r="F66" s="145" t="s">
        <v>741</v>
      </c>
      <c r="G66" s="146" t="s">
        <v>63</v>
      </c>
      <c r="H66" s="161" t="s">
        <v>898</v>
      </c>
      <c r="I66" s="162" t="s">
        <v>76</v>
      </c>
      <c r="J66" s="117" t="s">
        <v>757</v>
      </c>
      <c r="K66" s="163" t="s">
        <v>758</v>
      </c>
      <c r="L66" s="153" t="s">
        <v>759</v>
      </c>
      <c r="M66" s="146" t="s">
        <v>68</v>
      </c>
      <c r="N66" s="164">
        <v>2</v>
      </c>
      <c r="O66" s="164">
        <v>5</v>
      </c>
      <c r="P66" s="150" t="str">
        <f t="shared" si="8"/>
        <v>MEDIO</v>
      </c>
      <c r="Q66" s="124" t="str">
        <f t="shared" si="9"/>
        <v>ACEPTABLE CON CONTROL</v>
      </c>
      <c r="R66" s="146" t="s">
        <v>770</v>
      </c>
      <c r="S66" s="146" t="s">
        <v>197</v>
      </c>
      <c r="T66" s="146" t="s">
        <v>771</v>
      </c>
      <c r="U66" s="146" t="s">
        <v>772</v>
      </c>
      <c r="V66" s="146" t="s">
        <v>72</v>
      </c>
      <c r="W66" s="146">
        <v>2</v>
      </c>
      <c r="X66" s="146">
        <v>5</v>
      </c>
      <c r="Y66" s="150" t="str">
        <f t="array" ref="Y66">IF(W66*X66&lt;=5,"BAJO",
IF(W66*X66,"MEDIO",
IF(N66*P23O23*O66&lt;=50,"ALTO",
IF(N66*O66&lt;=100,"CRITICO","INACEPTABLE"))))</f>
        <v>MEDIO</v>
      </c>
      <c r="Z66" s="124" t="str">
        <f t="shared" si="14"/>
        <v>ACEPTABLE CON CONTROL</v>
      </c>
      <c r="AA66" s="124" t="s">
        <v>69</v>
      </c>
      <c r="AB66" s="127"/>
      <c r="AC66" s="127"/>
      <c r="AD66" s="127"/>
      <c r="AE66" s="127"/>
      <c r="AF66" s="127"/>
    </row>
    <row r="67" spans="1:32" s="126" customFormat="1" ht="200.45" customHeight="1" thickTop="1" thickBot="1" x14ac:dyDescent="0.6">
      <c r="A67" s="218"/>
      <c r="B67" s="246"/>
      <c r="C67" s="117" t="s">
        <v>62</v>
      </c>
      <c r="D67" s="121"/>
      <c r="E67" s="121"/>
      <c r="F67" s="145" t="s">
        <v>741</v>
      </c>
      <c r="G67" s="146" t="s">
        <v>63</v>
      </c>
      <c r="H67" s="161" t="s">
        <v>899</v>
      </c>
      <c r="I67" s="162" t="s">
        <v>64</v>
      </c>
      <c r="J67" s="115" t="s">
        <v>760</v>
      </c>
      <c r="K67" s="115" t="s">
        <v>235</v>
      </c>
      <c r="L67" s="153" t="s">
        <v>761</v>
      </c>
      <c r="M67" s="146" t="s">
        <v>68</v>
      </c>
      <c r="N67" s="164">
        <v>2</v>
      </c>
      <c r="O67" s="164">
        <v>2</v>
      </c>
      <c r="P67" s="150" t="str">
        <f t="shared" si="8"/>
        <v>BAJO</v>
      </c>
      <c r="Q67" s="124" t="str">
        <f t="shared" si="9"/>
        <v>ACEPTABLE</v>
      </c>
      <c r="R67" s="146" t="s">
        <v>228</v>
      </c>
      <c r="S67" s="146" t="s">
        <v>745</v>
      </c>
      <c r="T67" s="146" t="s">
        <v>773</v>
      </c>
      <c r="U67" s="146" t="s">
        <v>149</v>
      </c>
      <c r="V67" s="146" t="s">
        <v>150</v>
      </c>
      <c r="W67" s="146">
        <v>1</v>
      </c>
      <c r="X67" s="146">
        <v>2</v>
      </c>
      <c r="Y67" s="150" t="str">
        <f t="array" ref="Y67">IF(W67*X67&lt;=5,"BAJO",
IF(W67*X67,"MEDIO",
IF(N67*P23O23*O67&lt;=50,"ALTO",
IF(N67*O67&lt;=100,"CRITICO","INACEPTABLE"))))</f>
        <v>BAJO</v>
      </c>
      <c r="Z67" s="124" t="str">
        <f t="shared" si="14"/>
        <v>ACEPTABLE</v>
      </c>
      <c r="AA67" s="124" t="s">
        <v>69</v>
      </c>
      <c r="AB67" s="127"/>
      <c r="AC67" s="127"/>
      <c r="AD67" s="127"/>
      <c r="AE67" s="127"/>
      <c r="AF67" s="127"/>
    </row>
    <row r="68" spans="1:32" s="126" customFormat="1" ht="115.5" customHeight="1" thickTop="1" thickBot="1" x14ac:dyDescent="0.6">
      <c r="A68" s="218"/>
      <c r="B68" s="121" t="s">
        <v>914</v>
      </c>
      <c r="C68" s="121"/>
      <c r="D68" s="117" t="s">
        <v>62</v>
      </c>
      <c r="E68" s="121"/>
      <c r="F68" s="145" t="s">
        <v>216</v>
      </c>
      <c r="G68" s="146" t="s">
        <v>63</v>
      </c>
      <c r="H68" s="161" t="s">
        <v>899</v>
      </c>
      <c r="I68" s="162" t="s">
        <v>64</v>
      </c>
      <c r="J68" s="115" t="s">
        <v>760</v>
      </c>
      <c r="K68" s="163" t="s">
        <v>235</v>
      </c>
      <c r="L68" s="153" t="s">
        <v>761</v>
      </c>
      <c r="M68" s="146" t="s">
        <v>68</v>
      </c>
      <c r="N68" s="164">
        <v>2</v>
      </c>
      <c r="O68" s="164">
        <v>2</v>
      </c>
      <c r="P68" s="150" t="str">
        <f t="shared" ref="P68:P69" si="23">IF(N68*O68&lt;=5,"BAJO",
IF(N68*O68&lt;=20,"MEDIO",
IF(N68*O68&lt;=50,"ALTO",
IF(N68*O68&lt;=100,"CRITICO","INACEPTABLE"))))</f>
        <v>BAJO</v>
      </c>
      <c r="Q68" s="124" t="str">
        <f t="shared" ref="Q68:Q69" si="24">IF(N68*O68&lt;=5,"ACEPTABLE",
IF(N68*O68&lt;=20,"ACEPTABLE CON CONTROL",
IF(N68*O68&lt;=50,"NO ACEPTABLE",
IF(N68*O68&lt;=100,"INACEPTABLE – DETENER ACTIVIDAD",
"INACEPTABLE – DETENER INMEDIATAMENTE"))))</f>
        <v>ACEPTABLE</v>
      </c>
      <c r="R68" s="146" t="s">
        <v>220</v>
      </c>
      <c r="S68" s="146" t="s">
        <v>180</v>
      </c>
      <c r="T68" s="146" t="s">
        <v>221</v>
      </c>
      <c r="U68" s="146" t="s">
        <v>199</v>
      </c>
      <c r="V68" s="146" t="s">
        <v>222</v>
      </c>
      <c r="W68" s="146">
        <v>1</v>
      </c>
      <c r="X68" s="146">
        <v>2</v>
      </c>
      <c r="Y68" s="150" t="str">
        <f t="array" ref="Y68">IF(W68*X68&lt;=5,"BAJO",
IF(W68*X68,"MEDIO",
IF(N68*P23O23*O68&lt;=50,"ALTO",
IF(N68*O68&lt;=100,"CRITICO","INACEPTABLE"))))</f>
        <v>BAJO</v>
      </c>
      <c r="Z68" s="124" t="str">
        <f t="shared" ref="Z68:Z69" si="25">IF(W68*X68&lt;=5,"ACEPTABLE",
IF(W68*X68&lt;=20,"ACEPTABLE CON CONTROL",
IF(W68*X68&lt;=50,"NO ACEPTABLE",
IF(W68*X68&lt;=100,"INACEPTABLE – DETENER ACTIVIDAD",
"INACEPTABLE – DETENER INMEDIATAMENTE"))))</f>
        <v>ACEPTABLE</v>
      </c>
      <c r="AA68" s="124" t="s">
        <v>69</v>
      </c>
      <c r="AB68" s="127"/>
      <c r="AC68" s="127"/>
      <c r="AD68" s="127"/>
      <c r="AE68" s="127"/>
      <c r="AF68" s="127"/>
    </row>
    <row r="69" spans="1:32" s="126" customFormat="1" ht="115.5" customHeight="1" thickTop="1" thickBot="1" x14ac:dyDescent="0.6">
      <c r="A69" s="218"/>
      <c r="B69" s="117" t="s">
        <v>915</v>
      </c>
      <c r="C69" s="117" t="s">
        <v>62</v>
      </c>
      <c r="D69" s="121"/>
      <c r="E69" s="121"/>
      <c r="F69" s="145" t="s">
        <v>223</v>
      </c>
      <c r="G69" s="146" t="s">
        <v>63</v>
      </c>
      <c r="H69" s="160" t="s">
        <v>224</v>
      </c>
      <c r="I69" s="146" t="s">
        <v>212</v>
      </c>
      <c r="J69" s="153" t="s">
        <v>225</v>
      </c>
      <c r="K69" s="146" t="s">
        <v>226</v>
      </c>
      <c r="L69" s="146" t="s">
        <v>227</v>
      </c>
      <c r="M69" s="146" t="s">
        <v>68</v>
      </c>
      <c r="N69" s="149">
        <v>3</v>
      </c>
      <c r="O69" s="149">
        <v>2</v>
      </c>
      <c r="P69" s="150" t="str">
        <f t="shared" si="23"/>
        <v>MEDIO</v>
      </c>
      <c r="Q69" s="124" t="str">
        <f t="shared" si="24"/>
        <v>ACEPTABLE CON CONTROL</v>
      </c>
      <c r="R69" s="146" t="s">
        <v>228</v>
      </c>
      <c r="S69" s="146" t="s">
        <v>229</v>
      </c>
      <c r="T69" s="146" t="s">
        <v>230</v>
      </c>
      <c r="U69" s="146" t="s">
        <v>231</v>
      </c>
      <c r="V69" s="146" t="s">
        <v>150</v>
      </c>
      <c r="W69" s="146">
        <v>1</v>
      </c>
      <c r="X69" s="146">
        <v>2</v>
      </c>
      <c r="Y69" s="150" t="str">
        <f t="array" ref="Y69">IF(W69*X69&lt;=5,"BAJO",
IF(W69*X69,"MEDIO",
IF(N69*P23O23*O69&lt;=50,"ALTO",
IF(N69*O69&lt;=100,"CRITICO","INACEPTABLE"))))</f>
        <v>BAJO</v>
      </c>
      <c r="Z69" s="124" t="str">
        <f t="shared" si="25"/>
        <v>ACEPTABLE</v>
      </c>
      <c r="AA69" s="124" t="s">
        <v>69</v>
      </c>
      <c r="AB69" s="127"/>
      <c r="AC69" s="127"/>
      <c r="AD69" s="127"/>
      <c r="AE69" s="127"/>
      <c r="AF69" s="127"/>
    </row>
    <row r="70" spans="1:32" s="126" customFormat="1" ht="115.5" customHeight="1" thickTop="1" thickBot="1" x14ac:dyDescent="0.6">
      <c r="A70" s="218"/>
      <c r="B70" s="117" t="s">
        <v>916</v>
      </c>
      <c r="C70" s="117" t="s">
        <v>62</v>
      </c>
      <c r="D70" s="121"/>
      <c r="E70" s="121"/>
      <c r="F70" s="145" t="s">
        <v>232</v>
      </c>
      <c r="G70" s="146" t="s">
        <v>63</v>
      </c>
      <c r="H70" s="161" t="s">
        <v>233</v>
      </c>
      <c r="I70" s="162" t="s">
        <v>64</v>
      </c>
      <c r="J70" s="117" t="s">
        <v>234</v>
      </c>
      <c r="K70" s="163" t="s">
        <v>235</v>
      </c>
      <c r="L70" s="153" t="s">
        <v>236</v>
      </c>
      <c r="M70" s="146" t="s">
        <v>68</v>
      </c>
      <c r="N70" s="164">
        <v>3</v>
      </c>
      <c r="O70" s="164">
        <v>2</v>
      </c>
      <c r="P70" s="150" t="str">
        <f t="shared" ref="P70:P71" si="26">IF(N70*O70&lt;=5,"BAJO",
IF(N70*O70&lt;=20,"MEDIO",
IF(N70*O70&lt;=50,"ALTO",
IF(N70*O70&lt;=100,"CRITICO","INACEPTABLE"))))</f>
        <v>MEDIO</v>
      </c>
      <c r="Q70" s="124" t="str">
        <f t="shared" ref="Q70:Q71" si="27">IF(N70*O70&lt;=5,"ACEPTABLE",
IF(N70*O70&lt;=20,"ACEPTABLE CON CONTROL",
IF(N70*O70&lt;=50,"NO ACEPTABLE",
IF(N70*O70&lt;=100,"INACEPTABLE – DETENER ACTIVIDAD",
"INACEPTABLE – DETENER INMEDIATAMENTE"))))</f>
        <v>ACEPTABLE CON CONTROL</v>
      </c>
      <c r="R70" s="146" t="s">
        <v>146</v>
      </c>
      <c r="S70" s="146" t="s">
        <v>147</v>
      </c>
      <c r="T70" s="146" t="s">
        <v>148</v>
      </c>
      <c r="U70" s="146" t="s">
        <v>149</v>
      </c>
      <c r="V70" s="146" t="s">
        <v>150</v>
      </c>
      <c r="W70" s="146">
        <v>2</v>
      </c>
      <c r="X70" s="146">
        <v>2</v>
      </c>
      <c r="Y70" s="150" t="str">
        <f t="array" ref="Y70">IF(W70*X70&lt;=5,"BAJO",
IF(W70*X70,"MEDIO",
IF(N70*P23O23*O70&lt;=50,"ALTO",
IF(N70*O70&lt;=100,"CRITICO","INACEPTABLE"))))</f>
        <v>BAJO</v>
      </c>
      <c r="Z70" s="124" t="str">
        <f t="shared" ref="Z70:Z71" si="28">IF(W70*X70&lt;=5,"ACEPTABLE",
IF(W70*X70&lt;=20,"ACEPTABLE CON CONTROL",
IF(W70*X70&lt;=50,"NO ACEPTABLE",
IF(W70*X70&lt;=100,"INACEPTABLE – DETENER ACTIVIDAD",
"INACEPTABLE – DETENER INMEDIATAMENTE"))))</f>
        <v>ACEPTABLE</v>
      </c>
      <c r="AA70" s="124" t="s">
        <v>69</v>
      </c>
      <c r="AB70" s="127"/>
      <c r="AC70" s="127"/>
      <c r="AD70" s="127"/>
      <c r="AE70" s="127"/>
      <c r="AF70" s="127"/>
    </row>
    <row r="71" spans="1:32" s="126" customFormat="1" ht="115.5" customHeight="1" thickTop="1" thickBot="1" x14ac:dyDescent="0.6">
      <c r="A71" s="219"/>
      <c r="B71" s="117" t="s">
        <v>913</v>
      </c>
      <c r="C71" s="117" t="s">
        <v>62</v>
      </c>
      <c r="D71" s="121"/>
      <c r="E71" s="121"/>
      <c r="F71" s="145" t="s">
        <v>942</v>
      </c>
      <c r="G71" s="146" t="s">
        <v>63</v>
      </c>
      <c r="H71" s="161" t="s">
        <v>943</v>
      </c>
      <c r="I71" s="162" t="s">
        <v>212</v>
      </c>
      <c r="J71" s="117" t="s">
        <v>944</v>
      </c>
      <c r="K71" s="162" t="s">
        <v>945</v>
      </c>
      <c r="L71" s="162" t="s">
        <v>946</v>
      </c>
      <c r="M71" s="146" t="s">
        <v>68</v>
      </c>
      <c r="N71" s="164">
        <v>5</v>
      </c>
      <c r="O71" s="164">
        <v>2</v>
      </c>
      <c r="P71" s="150" t="str">
        <f t="shared" si="26"/>
        <v>MEDIO</v>
      </c>
      <c r="Q71" s="124" t="str">
        <f t="shared" si="27"/>
        <v>ACEPTABLE CON CONTROL</v>
      </c>
      <c r="R71" s="146"/>
      <c r="S71" s="146" t="s">
        <v>947</v>
      </c>
      <c r="T71" s="146" t="s">
        <v>948</v>
      </c>
      <c r="U71" s="146" t="s">
        <v>949</v>
      </c>
      <c r="V71" s="146" t="s">
        <v>868</v>
      </c>
      <c r="W71" s="146">
        <v>5</v>
      </c>
      <c r="X71" s="146">
        <v>2</v>
      </c>
      <c r="Y71" s="150" t="str">
        <f t="array" ref="Y71">IF(W71*X71&lt;=5,"BAJO",
IF(W71*X71,"MEDIO",
IF(N71*P23O23*O71&lt;=50,"ALTO",
IF(N71*O71&lt;=100,"CRITICO","INACEPTABLE"))))</f>
        <v>MEDIO</v>
      </c>
      <c r="Z71" s="124" t="str">
        <f t="shared" si="28"/>
        <v>ACEPTABLE CON CONTROL</v>
      </c>
      <c r="AA71" s="124" t="s">
        <v>69</v>
      </c>
      <c r="AB71" s="127"/>
      <c r="AC71" s="127"/>
      <c r="AD71" s="127"/>
      <c r="AE71" s="127"/>
      <c r="AF71" s="127"/>
    </row>
    <row r="72" spans="1:32" s="126" customFormat="1" ht="220.15" customHeight="1" thickTop="1" thickBot="1" x14ac:dyDescent="0.6">
      <c r="A72" s="117" t="s">
        <v>774</v>
      </c>
      <c r="B72" s="117" t="s">
        <v>795</v>
      </c>
      <c r="C72" s="117"/>
      <c r="D72" s="121" t="s">
        <v>62</v>
      </c>
      <c r="E72" s="121"/>
      <c r="F72" s="145" t="s">
        <v>797</v>
      </c>
      <c r="G72" s="146" t="s">
        <v>63</v>
      </c>
      <c r="H72" s="161" t="s">
        <v>835</v>
      </c>
      <c r="I72" s="162" t="s">
        <v>71</v>
      </c>
      <c r="J72" s="117" t="s">
        <v>832</v>
      </c>
      <c r="K72" s="117" t="s">
        <v>833</v>
      </c>
      <c r="L72" s="163" t="s">
        <v>834</v>
      </c>
      <c r="M72" s="146" t="s">
        <v>68</v>
      </c>
      <c r="N72" s="164">
        <v>4</v>
      </c>
      <c r="O72" s="164">
        <v>10</v>
      </c>
      <c r="P72" s="150" t="str">
        <f t="shared" si="8"/>
        <v>ALTO</v>
      </c>
      <c r="Q72" s="124" t="str">
        <f t="shared" si="9"/>
        <v>NO ACEPTABLE</v>
      </c>
      <c r="R72" s="146"/>
      <c r="S72" s="146"/>
      <c r="T72" s="146" t="s">
        <v>878</v>
      </c>
      <c r="U72" s="146" t="s">
        <v>879</v>
      </c>
      <c r="V72" s="146" t="s">
        <v>871</v>
      </c>
      <c r="W72" s="146">
        <v>2</v>
      </c>
      <c r="X72" s="146">
        <v>10</v>
      </c>
      <c r="Y72" s="150" t="str">
        <f t="array" ref="Y72">IF(W72*X72&lt;=5,"BAJO",
IF(W72*X72,"MEDIO",
IF(N72*P23O23*O72&lt;=50,"ALTO",
IF(N72*O72&lt;=100,"CRITICO","INACEPTABLE"))))</f>
        <v>MEDIO</v>
      </c>
      <c r="Z72" s="124" t="str">
        <f t="shared" si="14"/>
        <v>ACEPTABLE CON CONTROL</v>
      </c>
      <c r="AA72" s="124" t="s">
        <v>69</v>
      </c>
      <c r="AB72" s="127"/>
      <c r="AC72" s="127"/>
      <c r="AD72" s="127"/>
      <c r="AE72" s="127"/>
      <c r="AF72" s="127"/>
    </row>
    <row r="73" spans="1:32" s="126" customFormat="1" ht="327.60000000000002" customHeight="1" thickTop="1" thickBot="1" x14ac:dyDescent="0.6">
      <c r="A73" s="217" t="s">
        <v>918</v>
      </c>
      <c r="B73" s="115" t="s">
        <v>917</v>
      </c>
      <c r="C73" s="117" t="s">
        <v>62</v>
      </c>
      <c r="D73" s="121"/>
      <c r="E73" s="121"/>
      <c r="F73" s="145" t="s">
        <v>920</v>
      </c>
      <c r="G73" s="146" t="s">
        <v>63</v>
      </c>
      <c r="H73" s="161" t="s">
        <v>921</v>
      </c>
      <c r="I73" s="162" t="s">
        <v>212</v>
      </c>
      <c r="J73" s="117" t="s">
        <v>922</v>
      </c>
      <c r="K73" s="117" t="s">
        <v>923</v>
      </c>
      <c r="L73" s="163" t="s">
        <v>924</v>
      </c>
      <c r="M73" s="146" t="s">
        <v>68</v>
      </c>
      <c r="N73" s="164">
        <v>5</v>
      </c>
      <c r="O73" s="164">
        <v>2</v>
      </c>
      <c r="P73" s="150" t="str">
        <f t="shared" si="8"/>
        <v>MEDIO</v>
      </c>
      <c r="Q73" s="124" t="str">
        <f t="shared" si="9"/>
        <v>ACEPTABLE CON CONTROL</v>
      </c>
      <c r="R73" s="146"/>
      <c r="S73" s="146"/>
      <c r="T73" s="146" t="s">
        <v>925</v>
      </c>
      <c r="U73" s="146"/>
      <c r="V73" s="146" t="s">
        <v>926</v>
      </c>
      <c r="W73" s="146">
        <v>5</v>
      </c>
      <c r="X73" s="146">
        <v>2</v>
      </c>
      <c r="Y73" s="150" t="str">
        <f t="array" ref="Y73">IF(W73*X73&lt;=5,"BAJO",
IF(W73*X73,"MEDIO",
IF(N73*P23O23*O73&lt;=50,"ALTO",
IF(N73*O73&lt;=100,"CRITICO","INACEPTABLE"))))</f>
        <v>MEDIO</v>
      </c>
      <c r="Z73" s="124" t="str">
        <f t="shared" si="14"/>
        <v>ACEPTABLE CON CONTROL</v>
      </c>
      <c r="AA73" s="124" t="s">
        <v>69</v>
      </c>
      <c r="AB73" s="127"/>
      <c r="AC73" s="127"/>
      <c r="AD73" s="127"/>
      <c r="AE73" s="127"/>
      <c r="AF73" s="127"/>
    </row>
    <row r="74" spans="1:32" s="126" customFormat="1" ht="327.60000000000002" customHeight="1" thickTop="1" thickBot="1" x14ac:dyDescent="0.6">
      <c r="A74" s="218"/>
      <c r="B74" s="221" t="s">
        <v>919</v>
      </c>
      <c r="C74" s="117" t="s">
        <v>62</v>
      </c>
      <c r="D74" s="121"/>
      <c r="E74" s="121"/>
      <c r="F74" s="145" t="s">
        <v>928</v>
      </c>
      <c r="G74" s="146" t="s">
        <v>63</v>
      </c>
      <c r="H74" s="165" t="s">
        <v>929</v>
      </c>
      <c r="I74" s="162" t="s">
        <v>71</v>
      </c>
      <c r="J74" s="141" t="s">
        <v>934</v>
      </c>
      <c r="K74" s="117" t="s">
        <v>935</v>
      </c>
      <c r="L74" s="163" t="s">
        <v>936</v>
      </c>
      <c r="M74" s="146" t="s">
        <v>68</v>
      </c>
      <c r="N74" s="164">
        <v>5</v>
      </c>
      <c r="O74" s="164">
        <v>3</v>
      </c>
      <c r="P74" s="150" t="str">
        <f t="shared" si="8"/>
        <v>MEDIO</v>
      </c>
      <c r="Q74" s="124" t="str">
        <f t="shared" si="9"/>
        <v>ACEPTABLE CON CONTROL</v>
      </c>
      <c r="R74" s="146"/>
      <c r="S74" s="146"/>
      <c r="T74" s="146" t="s">
        <v>940</v>
      </c>
      <c r="U74" s="146" t="s">
        <v>231</v>
      </c>
      <c r="V74" s="146" t="s">
        <v>941</v>
      </c>
      <c r="W74" s="146">
        <v>5</v>
      </c>
      <c r="X74" s="146">
        <v>2</v>
      </c>
      <c r="Y74" s="150" t="str">
        <f t="array" ref="Y74">IF(W74*X74&lt;=5,"BAJO",
IF(W74*X74,"MEDIO",
IF(N74*P23O23*O74&lt;=50,"ALTO",
IF(N74*O74&lt;=100,"CRITICO","INACEPTABLE"))))</f>
        <v>MEDIO</v>
      </c>
      <c r="Z74" s="124" t="str">
        <f t="shared" si="14"/>
        <v>ACEPTABLE CON CONTROL</v>
      </c>
      <c r="AA74" s="124" t="s">
        <v>69</v>
      </c>
      <c r="AB74" s="127"/>
      <c r="AC74" s="127"/>
      <c r="AD74" s="127"/>
      <c r="AE74" s="127"/>
      <c r="AF74" s="127"/>
    </row>
    <row r="75" spans="1:32" s="126" customFormat="1" ht="220.15" customHeight="1" thickTop="1" thickBot="1" x14ac:dyDescent="0.6">
      <c r="A75" s="220"/>
      <c r="B75" s="222"/>
      <c r="C75" s="117" t="s">
        <v>62</v>
      </c>
      <c r="D75" s="121"/>
      <c r="E75" s="121"/>
      <c r="F75" s="145" t="s">
        <v>927</v>
      </c>
      <c r="G75" s="146" t="s">
        <v>63</v>
      </c>
      <c r="H75" s="145" t="s">
        <v>930</v>
      </c>
      <c r="I75" s="162" t="s">
        <v>64</v>
      </c>
      <c r="J75" s="117" t="s">
        <v>931</v>
      </c>
      <c r="K75" s="117" t="s">
        <v>932</v>
      </c>
      <c r="L75" s="163" t="s">
        <v>933</v>
      </c>
      <c r="M75" s="146" t="s">
        <v>68</v>
      </c>
      <c r="N75" s="164">
        <v>5</v>
      </c>
      <c r="O75" s="164">
        <v>3</v>
      </c>
      <c r="P75" s="150" t="str">
        <f t="shared" si="8"/>
        <v>MEDIO</v>
      </c>
      <c r="Q75" s="124" t="str">
        <f t="shared" si="9"/>
        <v>ACEPTABLE CON CONTROL</v>
      </c>
      <c r="R75" s="146"/>
      <c r="S75" s="146"/>
      <c r="T75" s="146" t="s">
        <v>937</v>
      </c>
      <c r="U75" s="146" t="s">
        <v>938</v>
      </c>
      <c r="V75" s="146" t="s">
        <v>939</v>
      </c>
      <c r="W75" s="146">
        <v>5</v>
      </c>
      <c r="X75" s="146">
        <v>3</v>
      </c>
      <c r="Y75" s="150" t="str">
        <f t="array" ref="Y75">IF(W75*X75&lt;=5,"BAJO",
IF(W75*X75,"MEDIO",
IF(N75*P23O23*O75&lt;=50,"ALTO",
IF(N75*O75&lt;=100,"CRITICO","INACEPTABLE"))))</f>
        <v>MEDIO</v>
      </c>
      <c r="Z75" s="124" t="str">
        <f t="shared" si="14"/>
        <v>ACEPTABLE CON CONTROL</v>
      </c>
      <c r="AA75" s="124" t="s">
        <v>69</v>
      </c>
      <c r="AB75" s="127"/>
      <c r="AC75" s="127"/>
      <c r="AD75" s="127"/>
      <c r="AE75" s="127"/>
      <c r="AF75" s="127"/>
    </row>
    <row r="76" spans="1:32" s="126" customFormat="1" ht="220.15" customHeight="1" thickTop="1" thickBot="1" x14ac:dyDescent="0.6">
      <c r="A76" s="268" t="s">
        <v>1031</v>
      </c>
      <c r="B76" s="121" t="s">
        <v>1038</v>
      </c>
      <c r="C76" s="117" t="s">
        <v>62</v>
      </c>
      <c r="D76" s="121"/>
      <c r="E76" s="121"/>
      <c r="F76" s="145" t="s">
        <v>1039</v>
      </c>
      <c r="G76" s="146" t="s">
        <v>63</v>
      </c>
      <c r="H76" s="161" t="s">
        <v>1040</v>
      </c>
      <c r="I76" s="162" t="s">
        <v>64</v>
      </c>
      <c r="J76" s="117" t="s">
        <v>1041</v>
      </c>
      <c r="K76" s="117" t="s">
        <v>1042</v>
      </c>
      <c r="L76" s="163" t="s">
        <v>1043</v>
      </c>
      <c r="M76" s="146" t="s">
        <v>68</v>
      </c>
      <c r="N76" s="164">
        <v>5</v>
      </c>
      <c r="O76" s="164">
        <v>5</v>
      </c>
      <c r="P76" s="150" t="str">
        <f t="shared" ref="P76:P83" si="29">IF(N76*O76&lt;=5,"BAJO",
IF(N76*O76&lt;=20,"MEDIO",
IF(N76*O76&lt;=50,"ALTO",
IF(N76*O76&lt;=100,"CRITICO","INACEPTABLE"))))</f>
        <v>ALTO</v>
      </c>
      <c r="Q76" s="124" t="str">
        <f t="shared" ref="Q76:Q83" si="30">IF(N76*O76&lt;=5,"ACEPTABLE",
IF(N76*O76&lt;=20,"ACEPTABLE CON CONTROL",
IF(N76*O76&lt;=50,"NO ACEPTABLE",
IF(N76*O76&lt;=100,"INACEPTABLE – DETENER ACTIVIDAD",
"INACEPTABLE – DETENER INMEDIATAMENTE"))))</f>
        <v>NO ACEPTABLE</v>
      </c>
      <c r="R76" s="146"/>
      <c r="S76" s="146"/>
      <c r="T76" s="146" t="s">
        <v>1044</v>
      </c>
      <c r="U76" s="146" t="s">
        <v>1045</v>
      </c>
      <c r="V76" s="146" t="s">
        <v>882</v>
      </c>
      <c r="W76" s="146">
        <v>2</v>
      </c>
      <c r="X76" s="146">
        <v>10</v>
      </c>
      <c r="Y76" s="150" t="str">
        <f t="array" ref="Y76">IF(W76*X76&lt;=5,"BAJO",
IF(W76*X76,"MEDIO",
IF(N76*P23O23*O76&lt;=50,"ALTO",
IF(N76*O76&lt;=100,"CRITICO","INACEPTABLE"))))</f>
        <v>MEDIO</v>
      </c>
      <c r="Z76" s="124" t="str">
        <f t="shared" si="14"/>
        <v>ACEPTABLE CON CONTROL</v>
      </c>
      <c r="AA76" s="124" t="s">
        <v>69</v>
      </c>
      <c r="AB76" s="127"/>
      <c r="AC76" s="127"/>
      <c r="AD76" s="127"/>
      <c r="AE76" s="127"/>
      <c r="AF76" s="127"/>
    </row>
    <row r="77" spans="1:32" s="126" customFormat="1" ht="220.15" customHeight="1" thickTop="1" thickBot="1" x14ac:dyDescent="0.6">
      <c r="A77" s="268"/>
      <c r="B77" s="138" t="s">
        <v>1032</v>
      </c>
      <c r="C77" s="117" t="s">
        <v>62</v>
      </c>
      <c r="D77" s="121"/>
      <c r="E77" s="121"/>
      <c r="F77" s="145" t="s">
        <v>142</v>
      </c>
      <c r="G77" s="146" t="s">
        <v>63</v>
      </c>
      <c r="H77" s="161" t="s">
        <v>805</v>
      </c>
      <c r="I77" s="162" t="s">
        <v>71</v>
      </c>
      <c r="J77" s="117" t="s">
        <v>838</v>
      </c>
      <c r="K77" s="117" t="s">
        <v>834</v>
      </c>
      <c r="L77" s="163" t="s">
        <v>839</v>
      </c>
      <c r="M77" s="146" t="s">
        <v>68</v>
      </c>
      <c r="N77" s="164">
        <v>5</v>
      </c>
      <c r="O77" s="164">
        <v>10</v>
      </c>
      <c r="P77" s="150" t="str">
        <f t="shared" si="29"/>
        <v>ALTO</v>
      </c>
      <c r="Q77" s="124" t="str">
        <f t="shared" si="30"/>
        <v>NO ACEPTABLE</v>
      </c>
      <c r="R77" s="146"/>
      <c r="S77" s="146"/>
      <c r="T77" s="146" t="s">
        <v>883</v>
      </c>
      <c r="U77" s="146" t="s">
        <v>884</v>
      </c>
      <c r="V77" s="146" t="s">
        <v>200</v>
      </c>
      <c r="W77" s="146">
        <v>2</v>
      </c>
      <c r="X77" s="146">
        <v>10</v>
      </c>
      <c r="Y77" s="150" t="str">
        <f t="array" ref="Y77">IF(W77*X77&lt;=5,"BAJO",
IF(W77*X77,"MEDIO",
IF(N77*P23O23*O77&lt;=50,"ALTO",
IF(N77*O77&lt;=100,"CRITICO","INACEPTABLE"))))</f>
        <v>MEDIO</v>
      </c>
      <c r="Z77" s="124" t="str">
        <f t="shared" si="14"/>
        <v>ACEPTABLE CON CONTROL</v>
      </c>
      <c r="AA77" s="124" t="s">
        <v>69</v>
      </c>
      <c r="AB77" s="127"/>
      <c r="AC77" s="127"/>
      <c r="AD77" s="127"/>
      <c r="AE77" s="127"/>
      <c r="AF77" s="127"/>
    </row>
    <row r="78" spans="1:32" s="126" customFormat="1" ht="220.15" customHeight="1" thickTop="1" thickBot="1" x14ac:dyDescent="0.6">
      <c r="A78" s="268"/>
      <c r="B78" s="138" t="s">
        <v>1034</v>
      </c>
      <c r="C78" s="117" t="s">
        <v>62</v>
      </c>
      <c r="D78" s="121"/>
      <c r="E78" s="121"/>
      <c r="F78" s="145" t="s">
        <v>232</v>
      </c>
      <c r="G78" s="146" t="s">
        <v>63</v>
      </c>
      <c r="H78" s="161" t="s">
        <v>806</v>
      </c>
      <c r="I78" s="162" t="s">
        <v>71</v>
      </c>
      <c r="J78" s="117" t="s">
        <v>840</v>
      </c>
      <c r="K78" s="117" t="s">
        <v>841</v>
      </c>
      <c r="L78" s="163" t="s">
        <v>842</v>
      </c>
      <c r="M78" s="146" t="s">
        <v>68</v>
      </c>
      <c r="N78" s="164">
        <v>5</v>
      </c>
      <c r="O78" s="164">
        <v>5</v>
      </c>
      <c r="P78" s="150" t="str">
        <f t="shared" si="29"/>
        <v>ALTO</v>
      </c>
      <c r="Q78" s="124" t="str">
        <f t="shared" si="30"/>
        <v>NO ACEPTABLE</v>
      </c>
      <c r="R78" s="146"/>
      <c r="S78" s="146"/>
      <c r="T78" s="146" t="s">
        <v>885</v>
      </c>
      <c r="U78" s="146" t="s">
        <v>199</v>
      </c>
      <c r="V78" s="146" t="s">
        <v>150</v>
      </c>
      <c r="W78" s="146">
        <v>2</v>
      </c>
      <c r="X78" s="146">
        <v>5</v>
      </c>
      <c r="Y78" s="150" t="str">
        <f t="array" ref="Y78">IF(W78*X78&lt;=5,"BAJO",
IF(W78*X78,"MEDIO",
IF(N78*P23O23*O78&lt;=50,"ALTO",
IF(N78*O78&lt;=100,"CRITICO","INACEPTABLE"))))</f>
        <v>MEDIO</v>
      </c>
      <c r="Z78" s="124" t="str">
        <f t="shared" si="14"/>
        <v>ACEPTABLE CON CONTROL</v>
      </c>
      <c r="AA78" s="124" t="s">
        <v>69</v>
      </c>
      <c r="AB78" s="127"/>
      <c r="AC78" s="127"/>
      <c r="AD78" s="127"/>
      <c r="AE78" s="127"/>
      <c r="AF78" s="127"/>
    </row>
    <row r="79" spans="1:32" s="126" customFormat="1" ht="220.15" customHeight="1" thickTop="1" thickBot="1" x14ac:dyDescent="0.6">
      <c r="A79" s="268"/>
      <c r="B79" s="138" t="s">
        <v>1033</v>
      </c>
      <c r="C79" s="117" t="s">
        <v>62</v>
      </c>
      <c r="D79" s="121"/>
      <c r="E79" s="121"/>
      <c r="F79" s="145" t="s">
        <v>142</v>
      </c>
      <c r="G79" s="146" t="s">
        <v>63</v>
      </c>
      <c r="H79" s="166" t="s">
        <v>809</v>
      </c>
      <c r="I79" s="162" t="s">
        <v>71</v>
      </c>
      <c r="J79" s="117" t="s">
        <v>843</v>
      </c>
      <c r="K79" s="117" t="s">
        <v>828</v>
      </c>
      <c r="L79" s="163" t="s">
        <v>844</v>
      </c>
      <c r="M79" s="146" t="s">
        <v>68</v>
      </c>
      <c r="N79" s="164">
        <v>5</v>
      </c>
      <c r="O79" s="164">
        <v>20</v>
      </c>
      <c r="P79" s="150" t="str">
        <f t="shared" si="29"/>
        <v>CRITICO</v>
      </c>
      <c r="Q79" s="124" t="str">
        <f t="shared" si="30"/>
        <v>INACEPTABLE – DETENER ACTIVIDAD</v>
      </c>
      <c r="R79" s="146"/>
      <c r="S79" s="146"/>
      <c r="T79" s="146" t="s">
        <v>886</v>
      </c>
      <c r="U79" s="146" t="s">
        <v>873</v>
      </c>
      <c r="V79" s="146" t="s">
        <v>874</v>
      </c>
      <c r="W79" s="146">
        <v>1</v>
      </c>
      <c r="X79" s="146">
        <v>20</v>
      </c>
      <c r="Y79" s="150" t="str">
        <f t="array" ref="Y79">IF(W79*X79&lt;=5,"BAJO",
IF(W79*X79,"MEDIO",
IF(N79*P23O23*O79&lt;=50,"ALTO",
IF(N79*O79&lt;=100,"CRITICO","INACEPTABLE"))))</f>
        <v>MEDIO</v>
      </c>
      <c r="Z79" s="124" t="str">
        <f t="shared" si="14"/>
        <v>ACEPTABLE CON CONTROL</v>
      </c>
      <c r="AA79" s="124" t="s">
        <v>69</v>
      </c>
      <c r="AB79" s="127"/>
      <c r="AC79" s="127"/>
      <c r="AD79" s="127"/>
      <c r="AE79" s="127"/>
      <c r="AF79" s="127"/>
    </row>
    <row r="80" spans="1:32" s="126" customFormat="1" ht="220.15" customHeight="1" thickTop="1" thickBot="1" x14ac:dyDescent="0.6">
      <c r="A80" s="268"/>
      <c r="B80" s="138" t="s">
        <v>1035</v>
      </c>
      <c r="C80" s="117" t="s">
        <v>62</v>
      </c>
      <c r="D80" s="121"/>
      <c r="E80" s="121"/>
      <c r="F80" s="145" t="s">
        <v>223</v>
      </c>
      <c r="G80" s="146" t="s">
        <v>63</v>
      </c>
      <c r="H80" s="166" t="s">
        <v>1036</v>
      </c>
      <c r="I80" s="162" t="s">
        <v>64</v>
      </c>
      <c r="J80" s="117" t="s">
        <v>1046</v>
      </c>
      <c r="K80" s="117" t="s">
        <v>845</v>
      </c>
      <c r="L80" s="163" t="s">
        <v>846</v>
      </c>
      <c r="M80" s="146" t="s">
        <v>68</v>
      </c>
      <c r="N80" s="164">
        <v>4</v>
      </c>
      <c r="O80" s="164">
        <v>5</v>
      </c>
      <c r="P80" s="150" t="str">
        <f t="shared" si="29"/>
        <v>MEDIO</v>
      </c>
      <c r="Q80" s="124" t="str">
        <f t="shared" si="30"/>
        <v>ACEPTABLE CON CONTROL</v>
      </c>
      <c r="R80" s="146"/>
      <c r="S80" s="146"/>
      <c r="T80" s="146" t="s">
        <v>887</v>
      </c>
      <c r="U80" s="146" t="s">
        <v>149</v>
      </c>
      <c r="V80" s="146" t="s">
        <v>888</v>
      </c>
      <c r="W80" s="146">
        <v>2</v>
      </c>
      <c r="X80" s="146">
        <v>5</v>
      </c>
      <c r="Y80" s="150" t="str">
        <f t="array" ref="Y80">IF(W80*X80&lt;=5,"BAJO",
IF(W80*X80,"MEDIO",
IF(N80*P23O23*O80&lt;=50,"ALTO",
IF(N80*O80&lt;=100,"CRITICO","INACEPTABLE"))))</f>
        <v>MEDIO</v>
      </c>
      <c r="Z80" s="124" t="str">
        <f t="shared" si="14"/>
        <v>ACEPTABLE CON CONTROL</v>
      </c>
      <c r="AA80" s="124" t="s">
        <v>69</v>
      </c>
      <c r="AB80" s="127"/>
      <c r="AC80" s="127"/>
      <c r="AD80" s="127"/>
      <c r="AE80" s="127"/>
      <c r="AF80" s="127"/>
    </row>
    <row r="81" spans="1:32" s="126" customFormat="1" ht="220.15" customHeight="1" thickTop="1" thickBot="1" x14ac:dyDescent="0.6">
      <c r="A81" s="269"/>
      <c r="B81" s="151" t="s">
        <v>1037</v>
      </c>
      <c r="C81" s="121" t="s">
        <v>62</v>
      </c>
      <c r="D81" s="117"/>
      <c r="E81" s="121"/>
      <c r="F81" s="145" t="s">
        <v>953</v>
      </c>
      <c r="G81" s="153" t="s">
        <v>63</v>
      </c>
      <c r="H81" s="154" t="s">
        <v>954</v>
      </c>
      <c r="I81" s="117" t="s">
        <v>955</v>
      </c>
      <c r="J81" s="157" t="s">
        <v>957</v>
      </c>
      <c r="K81" s="117" t="s">
        <v>956</v>
      </c>
      <c r="L81" s="117" t="s">
        <v>958</v>
      </c>
      <c r="M81" s="117" t="s">
        <v>68</v>
      </c>
      <c r="N81" s="148">
        <v>3</v>
      </c>
      <c r="O81" s="149">
        <v>5</v>
      </c>
      <c r="P81" s="150" t="str">
        <f t="shared" si="29"/>
        <v>MEDIO</v>
      </c>
      <c r="Q81" s="124" t="str">
        <f t="shared" si="30"/>
        <v>ACEPTABLE CON CONTROL</v>
      </c>
      <c r="R81" s="146"/>
      <c r="S81" s="146"/>
      <c r="T81" s="146" t="s">
        <v>959</v>
      </c>
      <c r="U81" s="146"/>
      <c r="V81" s="146" t="s">
        <v>960</v>
      </c>
      <c r="W81" s="146">
        <v>3</v>
      </c>
      <c r="X81" s="146">
        <v>2</v>
      </c>
      <c r="Y81" s="150" t="str">
        <f t="array" ref="Y81">IF(W81*X81&lt;=5,"BAJO",
IF(W81*X81,"MEDIO",
IF(N81*P23O23*O81&lt;=50,"ALTO",
IF(N81*O81&lt;=100,"CRITICO","INACEPTABLE"))))</f>
        <v>MEDIO</v>
      </c>
      <c r="Z81" s="124" t="str">
        <f t="shared" si="14"/>
        <v>ACEPTABLE CON CONTROL</v>
      </c>
      <c r="AA81" s="124" t="s">
        <v>69</v>
      </c>
      <c r="AB81" s="127"/>
      <c r="AC81" s="127"/>
      <c r="AD81" s="127"/>
      <c r="AE81" s="127"/>
      <c r="AF81" s="127"/>
    </row>
    <row r="82" spans="1:32" s="126" customFormat="1" ht="220.15" customHeight="1" thickTop="1" thickBot="1" x14ac:dyDescent="0.6">
      <c r="A82" s="270" t="s">
        <v>779</v>
      </c>
      <c r="B82" s="151" t="s">
        <v>777</v>
      </c>
      <c r="C82" s="117" t="s">
        <v>62</v>
      </c>
      <c r="D82" s="121"/>
      <c r="E82" s="121"/>
      <c r="F82" s="145" t="s">
        <v>232</v>
      </c>
      <c r="G82" s="146" t="s">
        <v>63</v>
      </c>
      <c r="H82" s="167" t="s">
        <v>807</v>
      </c>
      <c r="I82" s="117" t="s">
        <v>71</v>
      </c>
      <c r="J82" s="117" t="s">
        <v>847</v>
      </c>
      <c r="K82" s="117" t="s">
        <v>834</v>
      </c>
      <c r="L82" s="117" t="s">
        <v>848</v>
      </c>
      <c r="M82" s="117" t="s">
        <v>68</v>
      </c>
      <c r="N82" s="119">
        <v>5</v>
      </c>
      <c r="O82" s="119">
        <v>5</v>
      </c>
      <c r="P82" s="150" t="str">
        <f t="shared" si="29"/>
        <v>ALTO</v>
      </c>
      <c r="Q82" s="124" t="str">
        <f t="shared" si="30"/>
        <v>NO ACEPTABLE</v>
      </c>
      <c r="R82" s="146"/>
      <c r="S82" s="146"/>
      <c r="T82" s="146" t="s">
        <v>889</v>
      </c>
      <c r="U82" s="146" t="s">
        <v>890</v>
      </c>
      <c r="V82" s="146" t="s">
        <v>891</v>
      </c>
      <c r="W82" s="146">
        <v>2</v>
      </c>
      <c r="X82" s="146">
        <v>5</v>
      </c>
      <c r="Y82" s="150" t="str">
        <f t="array" ref="Y82">IF(W82*X82&lt;=5,"BAJO",
IF(W82*X82,"MEDIO",
IF(N82*P23O23*O82&lt;=50,"ALTO",
IF(N82*O82&lt;=100,"CRITICO","INACEPTABLE"))))</f>
        <v>MEDIO</v>
      </c>
      <c r="Z82" s="124" t="str">
        <f t="shared" si="14"/>
        <v>ACEPTABLE CON CONTROL</v>
      </c>
      <c r="AA82" s="124" t="s">
        <v>69</v>
      </c>
      <c r="AB82" s="127"/>
      <c r="AC82" s="127"/>
      <c r="AD82" s="127"/>
      <c r="AE82" s="127"/>
      <c r="AF82" s="127"/>
    </row>
    <row r="83" spans="1:32" s="126" customFormat="1" ht="220.15" customHeight="1" thickTop="1" thickBot="1" x14ac:dyDescent="0.6">
      <c r="A83" s="268"/>
      <c r="B83" s="146" t="s">
        <v>776</v>
      </c>
      <c r="C83" s="131" t="s">
        <v>62</v>
      </c>
      <c r="D83" s="137"/>
      <c r="E83" s="137"/>
      <c r="F83" s="160" t="s">
        <v>803</v>
      </c>
      <c r="G83" s="146" t="s">
        <v>63</v>
      </c>
      <c r="H83" s="167" t="s">
        <v>808</v>
      </c>
      <c r="I83" s="117" t="s">
        <v>71</v>
      </c>
      <c r="J83" s="117" t="s">
        <v>849</v>
      </c>
      <c r="K83" s="117" t="s">
        <v>850</v>
      </c>
      <c r="L83" s="117" t="s">
        <v>851</v>
      </c>
      <c r="M83" s="117" t="s">
        <v>68</v>
      </c>
      <c r="N83" s="119">
        <v>5</v>
      </c>
      <c r="O83" s="119">
        <v>5</v>
      </c>
      <c r="P83" s="150" t="str">
        <f t="shared" si="29"/>
        <v>ALTO</v>
      </c>
      <c r="Q83" s="124" t="str">
        <f t="shared" si="30"/>
        <v>NO ACEPTABLE</v>
      </c>
      <c r="R83" s="146"/>
      <c r="S83" s="146"/>
      <c r="T83" s="146" t="s">
        <v>892</v>
      </c>
      <c r="U83" s="146" t="s">
        <v>884</v>
      </c>
      <c r="V83" s="146" t="s">
        <v>150</v>
      </c>
      <c r="W83" s="146">
        <v>2</v>
      </c>
      <c r="X83" s="146">
        <v>5</v>
      </c>
      <c r="Y83" s="150" t="str">
        <f t="array" ref="Y83">IF(W83*X83&lt;=5,"BAJO",
IF(W83*X83,"MEDIO",
IF(N83*P23O23*O83&lt;=50,"ALTO",
IF(N83*O83&lt;=100,"CRITICO","INACEPTABLE"))))</f>
        <v>MEDIO</v>
      </c>
      <c r="Z83" s="124" t="str">
        <f t="shared" si="14"/>
        <v>ACEPTABLE CON CONTROL</v>
      </c>
      <c r="AA83" s="124" t="s">
        <v>69</v>
      </c>
      <c r="AB83" s="127"/>
      <c r="AC83" s="127"/>
      <c r="AD83" s="127"/>
      <c r="AE83" s="127"/>
      <c r="AF83" s="127"/>
    </row>
    <row r="84" spans="1:32" s="126" customFormat="1" ht="220.15" customHeight="1" thickTop="1" thickBot="1" x14ac:dyDescent="0.6">
      <c r="A84" s="269"/>
      <c r="B84" s="146" t="s">
        <v>778</v>
      </c>
      <c r="C84" s="146" t="s">
        <v>62</v>
      </c>
      <c r="D84" s="124"/>
      <c r="E84" s="124"/>
      <c r="F84" s="160" t="s">
        <v>803</v>
      </c>
      <c r="G84" s="146" t="s">
        <v>63</v>
      </c>
      <c r="H84" s="167" t="s">
        <v>809</v>
      </c>
      <c r="I84" s="117" t="s">
        <v>71</v>
      </c>
      <c r="J84" s="117" t="s">
        <v>852</v>
      </c>
      <c r="K84" s="117" t="s">
        <v>834</v>
      </c>
      <c r="L84" s="117" t="s">
        <v>853</v>
      </c>
      <c r="M84" s="117" t="s">
        <v>68</v>
      </c>
      <c r="N84" s="119">
        <v>5</v>
      </c>
      <c r="O84" s="119">
        <v>10</v>
      </c>
      <c r="P84" s="150" t="str">
        <f t="shared" si="8"/>
        <v>ALTO</v>
      </c>
      <c r="Q84" s="124" t="str">
        <f t="shared" si="9"/>
        <v>NO ACEPTABLE</v>
      </c>
      <c r="R84" s="146"/>
      <c r="S84" s="146"/>
      <c r="T84" s="146" t="s">
        <v>893</v>
      </c>
      <c r="U84" s="146" t="s">
        <v>894</v>
      </c>
      <c r="V84" s="146" t="s">
        <v>150</v>
      </c>
      <c r="W84" s="146">
        <v>2</v>
      </c>
      <c r="X84" s="146">
        <v>10</v>
      </c>
      <c r="Y84" s="150" t="str">
        <f t="array" ref="Y84">IF(W84*X84&lt;=5,"BAJO",
IF(W84*X84,"MEDIO",
IF(N84*P23O23*O84&lt;=50,"ALTO",
IF(N84*O84&lt;=100,"CRITICO","INACEPTABLE"))))</f>
        <v>MEDIO</v>
      </c>
      <c r="Z84" s="124" t="str">
        <f t="shared" si="14"/>
        <v>ACEPTABLE CON CONTROL</v>
      </c>
      <c r="AA84" s="124" t="s">
        <v>69</v>
      </c>
      <c r="AB84" s="127"/>
      <c r="AC84" s="127"/>
      <c r="AD84" s="127"/>
      <c r="AE84" s="127"/>
      <c r="AF84" s="127"/>
    </row>
    <row r="85" spans="1:32" s="126" customFormat="1" ht="220.15" customHeight="1" thickTop="1" thickBot="1" x14ac:dyDescent="0.6">
      <c r="A85" s="270" t="s">
        <v>780</v>
      </c>
      <c r="B85" s="146" t="s">
        <v>781</v>
      </c>
      <c r="C85" s="146" t="s">
        <v>62</v>
      </c>
      <c r="D85" s="124"/>
      <c r="E85" s="124"/>
      <c r="F85" s="160" t="s">
        <v>782</v>
      </c>
      <c r="G85" s="146" t="s">
        <v>63</v>
      </c>
      <c r="H85" s="168" t="s">
        <v>896</v>
      </c>
      <c r="I85" s="169" t="s">
        <v>64</v>
      </c>
      <c r="J85" s="133" t="s">
        <v>783</v>
      </c>
      <c r="K85" s="133" t="s">
        <v>761</v>
      </c>
      <c r="L85" s="170" t="s">
        <v>784</v>
      </c>
      <c r="M85" s="131" t="s">
        <v>68</v>
      </c>
      <c r="N85" s="171">
        <v>3</v>
      </c>
      <c r="O85" s="171">
        <v>10</v>
      </c>
      <c r="P85" s="136" t="str">
        <f t="shared" ref="P85:P86" si="31">IF(N85*O85&lt;=5,"BAJO",
IF(N85*O85&lt;=20,"MEDIO",
IF(N85*O85&lt;=50,"ALTO",
IF(N85*O85&lt;=100,"CRITICO","INACEPTABLE"))))</f>
        <v>ALTO</v>
      </c>
      <c r="Q85" s="124" t="str">
        <f t="shared" ref="Q85:Q86" si="32">IF(N85*O85&lt;=5,"ACEPTABLE",
IF(N85*O85&lt;=20,"ACEPTABLE CON CONTROL",
IF(N85*O85&lt;=50,"NO ACEPTABLE",
IF(N85*O85&lt;=100,"INACEPTABLE – DETENER ACTIVIDAD",
"INACEPTABLE – DETENER INMEDIATAMENTE"))))</f>
        <v>NO ACEPTABLE</v>
      </c>
      <c r="R85" s="146" t="s">
        <v>228</v>
      </c>
      <c r="S85" s="146" t="s">
        <v>788</v>
      </c>
      <c r="T85" s="146" t="s">
        <v>789</v>
      </c>
      <c r="U85" s="146" t="s">
        <v>772</v>
      </c>
      <c r="V85" s="146" t="s">
        <v>150</v>
      </c>
      <c r="W85" s="146">
        <v>2</v>
      </c>
      <c r="X85" s="146">
        <v>5</v>
      </c>
      <c r="Y85" s="150" t="str">
        <f t="array" ref="Y85">IF(W85*X85&lt;=5,"BAJO",
IF(W85*X85,"MEDIO",
IF(N85*P23O23*O85&lt;=50,"ALTO",
IF(N85*O85&lt;=100,"CRITICO","INACEPTABLE"))))</f>
        <v>MEDIO</v>
      </c>
      <c r="Z85" s="124" t="str">
        <f t="shared" ref="Z85:Z86" si="33">IF(W85*X85&lt;=5,"ACEPTABLE",
IF(W85*X85&lt;=20,"ACEPTABLE CON CONTROL",
IF(W85*X85&lt;=50,"NO ACEPTABLE",
IF(W85*X85&lt;=100,"INACEPTABLE – DETENER ACTIVIDAD",
"INACEPTABLE – DETENER INMEDIATAMENTE"))))</f>
        <v>ACEPTABLE CON CONTROL</v>
      </c>
      <c r="AA85" s="124" t="s">
        <v>69</v>
      </c>
      <c r="AB85" s="127"/>
      <c r="AC85" s="127"/>
      <c r="AD85" s="127"/>
      <c r="AE85" s="127"/>
      <c r="AF85" s="127"/>
    </row>
    <row r="86" spans="1:32" s="126" customFormat="1" ht="220.15" customHeight="1" thickTop="1" thickBot="1" x14ac:dyDescent="0.6">
      <c r="A86" s="269"/>
      <c r="B86" s="146" t="s">
        <v>785</v>
      </c>
      <c r="C86" s="146" t="s">
        <v>62</v>
      </c>
      <c r="D86" s="124"/>
      <c r="E86" s="124"/>
      <c r="F86" s="160" t="s">
        <v>782</v>
      </c>
      <c r="G86" s="146" t="s">
        <v>63</v>
      </c>
      <c r="H86" s="161" t="s">
        <v>897</v>
      </c>
      <c r="I86" s="162" t="s">
        <v>64</v>
      </c>
      <c r="J86" s="117" t="s">
        <v>786</v>
      </c>
      <c r="K86" s="117" t="s">
        <v>235</v>
      </c>
      <c r="L86" s="163" t="s">
        <v>787</v>
      </c>
      <c r="M86" s="146" t="s">
        <v>68</v>
      </c>
      <c r="N86" s="164">
        <v>3</v>
      </c>
      <c r="O86" s="164">
        <v>10</v>
      </c>
      <c r="P86" s="150" t="str">
        <f t="shared" si="31"/>
        <v>ALTO</v>
      </c>
      <c r="Q86" s="124" t="str">
        <f t="shared" si="32"/>
        <v>NO ACEPTABLE</v>
      </c>
      <c r="R86" s="146" t="s">
        <v>790</v>
      </c>
      <c r="S86" s="146" t="s">
        <v>791</v>
      </c>
      <c r="T86" s="146" t="s">
        <v>792</v>
      </c>
      <c r="U86" s="146" t="s">
        <v>149</v>
      </c>
      <c r="V86" s="146" t="s">
        <v>793</v>
      </c>
      <c r="W86" s="146">
        <v>2</v>
      </c>
      <c r="X86" s="146">
        <v>5</v>
      </c>
      <c r="Y86" s="150" t="str">
        <f t="array" ref="Y86">IF(W86*X86&lt;=5,"BAJO",
IF(W86*X86,"MEDIO",
IF(N86*P23O23*O86&lt;=50,"ALTO",
IF(N86*O86&lt;=100,"CRITICO","INACEPTABLE"))))</f>
        <v>MEDIO</v>
      </c>
      <c r="Z86" s="124" t="str">
        <f t="shared" si="33"/>
        <v>ACEPTABLE CON CONTROL</v>
      </c>
      <c r="AA86" s="124" t="s">
        <v>69</v>
      </c>
      <c r="AB86" s="127"/>
      <c r="AC86" s="127"/>
      <c r="AD86" s="127"/>
      <c r="AE86" s="127"/>
      <c r="AF86" s="127"/>
    </row>
    <row r="87" spans="1:32" s="126" customFormat="1" ht="322.89999999999998" customHeight="1" thickTop="1" thickBot="1" x14ac:dyDescent="0.6">
      <c r="A87" s="146" t="s">
        <v>239</v>
      </c>
      <c r="B87" s="146" t="s">
        <v>794</v>
      </c>
      <c r="C87" s="146" t="s">
        <v>62</v>
      </c>
      <c r="D87" s="124"/>
      <c r="E87" s="124"/>
      <c r="F87" s="160" t="s">
        <v>216</v>
      </c>
      <c r="G87" s="146" t="s">
        <v>63</v>
      </c>
      <c r="H87" s="160" t="s">
        <v>240</v>
      </c>
      <c r="I87" s="151" t="s">
        <v>71</v>
      </c>
      <c r="J87" s="121" t="s">
        <v>241</v>
      </c>
      <c r="K87" s="117" t="s">
        <v>242</v>
      </c>
      <c r="L87" s="152" t="s">
        <v>243</v>
      </c>
      <c r="M87" s="146" t="s">
        <v>68</v>
      </c>
      <c r="N87" s="149">
        <v>1</v>
      </c>
      <c r="O87" s="149">
        <v>10</v>
      </c>
      <c r="P87" s="150" t="str">
        <f t="shared" ref="P87" si="34">IF(N87*O87&lt;=5,"BAJO",
IF(N87*O87&lt;=20,"MEDIO",
IF(N87*O87&lt;=50,"ALTO",
IF(N87*O87&lt;=100,"CRITICO","INACEPTABLE"))))</f>
        <v>MEDIO</v>
      </c>
      <c r="Q87" s="124" t="str">
        <f t="shared" si="7"/>
        <v>ACEPTABLE CON CONTROL</v>
      </c>
      <c r="R87" s="146" t="s">
        <v>244</v>
      </c>
      <c r="S87" s="146" t="s">
        <v>245</v>
      </c>
      <c r="T87" s="146" t="s">
        <v>246</v>
      </c>
      <c r="U87" s="146" t="s">
        <v>247</v>
      </c>
      <c r="V87" s="146" t="s">
        <v>248</v>
      </c>
      <c r="W87" s="146">
        <v>1</v>
      </c>
      <c r="X87" s="146">
        <v>5</v>
      </c>
      <c r="Y87" s="150" t="str">
        <f t="array" ref="Y87">IF(W87*X87&lt;=5,"BAJO",
IF(W87*X87,"MEDIO",
IF(N87*P23O23*O87&lt;=50,"ALTO",
IF(N87*O87&lt;=100,"CRITICO","INACEPTABLE"))))</f>
        <v>BAJO</v>
      </c>
      <c r="Z87" s="124" t="str">
        <f t="shared" si="10"/>
        <v>ACEPTABLE</v>
      </c>
      <c r="AA87" s="124" t="s">
        <v>69</v>
      </c>
      <c r="AB87" s="127"/>
      <c r="AC87" s="127"/>
      <c r="AD87" s="127"/>
      <c r="AE87" s="127"/>
      <c r="AF87" s="127"/>
    </row>
    <row r="88" spans="1:32" ht="15" customHeight="1" thickTop="1" x14ac:dyDescent="0.2">
      <c r="B88" s="10"/>
      <c r="F88" s="10" t="s">
        <v>802</v>
      </c>
      <c r="H88" s="112"/>
    </row>
    <row r="89" spans="1:32" ht="12.75" customHeight="1" x14ac:dyDescent="0.2">
      <c r="A89" s="11"/>
      <c r="B89" s="12"/>
      <c r="C89" s="12"/>
      <c r="D89" s="12"/>
      <c r="E89" s="12"/>
      <c r="F89" s="12"/>
      <c r="G89" s="12"/>
      <c r="H89" s="113"/>
      <c r="I89" s="14"/>
      <c r="J89" s="14"/>
      <c r="K89" s="14"/>
      <c r="L89" s="14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6"/>
    </row>
    <row r="90" spans="1:32" ht="12.75" customHeight="1" thickBot="1" x14ac:dyDescent="0.25">
      <c r="A90" s="11"/>
      <c r="B90" s="12"/>
      <c r="C90" s="12"/>
      <c r="D90" s="12"/>
      <c r="E90" s="12"/>
      <c r="F90" s="12"/>
      <c r="G90" s="12"/>
      <c r="H90" s="113"/>
      <c r="I90" s="14"/>
      <c r="J90" s="14"/>
      <c r="K90" s="14"/>
      <c r="L90" s="14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6"/>
    </row>
    <row r="91" spans="1:32" ht="69" customHeight="1" thickBot="1" x14ac:dyDescent="0.25">
      <c r="A91" s="264" t="s">
        <v>249</v>
      </c>
      <c r="B91" s="265"/>
      <c r="C91" s="265"/>
      <c r="D91" s="265"/>
      <c r="E91" s="265"/>
      <c r="F91" s="266"/>
      <c r="G91" s="17"/>
      <c r="H91" s="114"/>
      <c r="I91" s="18"/>
      <c r="J91" s="18"/>
      <c r="K91" s="19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18"/>
      <c r="X91" s="18"/>
      <c r="Y91" s="18"/>
      <c r="Z91" s="20"/>
      <c r="AA91" s="21"/>
    </row>
    <row r="92" spans="1:32" ht="409.5" customHeight="1" x14ac:dyDescent="0.35">
      <c r="A92" s="258" t="s">
        <v>250</v>
      </c>
      <c r="B92" s="259"/>
      <c r="C92" s="259"/>
      <c r="D92" s="259"/>
      <c r="E92" s="259"/>
      <c r="F92" s="260"/>
      <c r="G92" s="22"/>
      <c r="H92" s="18"/>
      <c r="I92" s="18"/>
      <c r="J92" s="19"/>
      <c r="K92" s="19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18"/>
      <c r="X92" s="18"/>
      <c r="Y92" s="18"/>
      <c r="Z92" s="20"/>
      <c r="AA92" s="21"/>
    </row>
    <row r="93" spans="1:32" ht="409.5" customHeight="1" thickBot="1" x14ac:dyDescent="0.4">
      <c r="A93" s="261"/>
      <c r="B93" s="262"/>
      <c r="C93" s="262"/>
      <c r="D93" s="262"/>
      <c r="E93" s="262"/>
      <c r="F93" s="263"/>
      <c r="G93" s="22"/>
      <c r="H93" s="18"/>
      <c r="I93" s="18"/>
      <c r="J93" s="19"/>
      <c r="K93" s="19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18"/>
      <c r="X93" s="18"/>
      <c r="Y93" s="18"/>
      <c r="Z93" s="20"/>
      <c r="AA93" s="21"/>
    </row>
    <row r="94" spans="1:32" ht="20.25" customHeight="1" x14ac:dyDescent="0.2">
      <c r="A94" s="256"/>
      <c r="B94" s="257"/>
      <c r="C94" s="257"/>
      <c r="D94" s="257"/>
      <c r="E94" s="257"/>
      <c r="F94" s="257"/>
      <c r="G94" s="17"/>
      <c r="H94" s="18"/>
      <c r="I94" s="18"/>
      <c r="J94" s="19"/>
      <c r="K94" s="19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18"/>
      <c r="X94" s="18"/>
      <c r="Y94" s="18"/>
      <c r="Z94" s="20"/>
      <c r="AA94" s="21"/>
    </row>
    <row r="95" spans="1:32" ht="12.75" customHeight="1" x14ac:dyDescent="0.2">
      <c r="A95" s="23"/>
      <c r="B95" s="12"/>
      <c r="C95" s="12"/>
      <c r="D95" s="12"/>
      <c r="E95" s="12"/>
      <c r="F95" s="12"/>
      <c r="G95" s="12"/>
      <c r="H95" s="18"/>
      <c r="I95" s="18"/>
      <c r="J95" s="19"/>
      <c r="K95" s="19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18"/>
      <c r="X95" s="18"/>
      <c r="Y95" s="18"/>
      <c r="Z95" s="20"/>
      <c r="AA95" s="21"/>
    </row>
    <row r="96" spans="1:32" ht="12.75" customHeight="1" x14ac:dyDescent="0.2">
      <c r="A96" s="24"/>
      <c r="B96" s="12"/>
      <c r="C96" s="12"/>
      <c r="D96" s="12"/>
      <c r="E96" s="12"/>
      <c r="F96" s="12"/>
      <c r="G96" s="12"/>
      <c r="H96" s="25"/>
      <c r="I96" s="18"/>
      <c r="J96" s="26"/>
      <c r="K96" s="26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21"/>
    </row>
    <row r="97" spans="1:32" ht="15" customHeight="1" x14ac:dyDescent="0.2">
      <c r="A97" s="253" t="s">
        <v>251</v>
      </c>
      <c r="B97" s="254"/>
      <c r="C97" s="254"/>
      <c r="D97" s="254"/>
      <c r="E97" s="254"/>
      <c r="F97" s="254"/>
      <c r="G97" s="254"/>
      <c r="H97" s="254"/>
      <c r="I97" s="254"/>
      <c r="J97" s="254"/>
      <c r="K97" s="254"/>
      <c r="L97" s="254"/>
      <c r="M97" s="254"/>
      <c r="N97" s="254"/>
      <c r="O97" s="254"/>
      <c r="P97" s="254"/>
      <c r="Q97" s="254"/>
      <c r="R97" s="254"/>
      <c r="S97" s="254"/>
      <c r="T97" s="254"/>
      <c r="U97" s="254"/>
      <c r="V97" s="254"/>
      <c r="W97" s="254"/>
      <c r="X97" s="254"/>
      <c r="Y97" s="255"/>
      <c r="Z97" s="27"/>
      <c r="AA97" s="27"/>
    </row>
    <row r="98" spans="1:32" ht="42" customHeight="1" x14ac:dyDescent="0.2">
      <c r="A98" s="28"/>
      <c r="B98" s="29"/>
      <c r="C98" s="28"/>
      <c r="D98" s="28"/>
      <c r="E98" s="28"/>
      <c r="F98" s="29"/>
      <c r="G98" s="28"/>
      <c r="H98" s="30"/>
      <c r="I98" s="28"/>
      <c r="J98" s="28"/>
      <c r="K98" s="28"/>
      <c r="L98" s="28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</row>
    <row r="99" spans="1:32" ht="42" customHeight="1" x14ac:dyDescent="0.2">
      <c r="A99" s="28"/>
      <c r="B99" s="29"/>
      <c r="C99" s="28"/>
      <c r="D99" s="28"/>
      <c r="E99" s="28"/>
      <c r="F99" s="29"/>
      <c r="G99" s="28"/>
      <c r="H99" s="30"/>
      <c r="I99" s="28"/>
      <c r="J99" s="28"/>
      <c r="K99" s="28"/>
      <c r="L99" s="28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</row>
    <row r="100" spans="1:32" ht="42" customHeight="1" x14ac:dyDescent="0.2">
      <c r="A100" s="28"/>
      <c r="B100" s="29"/>
      <c r="C100" s="28"/>
      <c r="D100" s="28"/>
      <c r="E100" s="28"/>
      <c r="F100" s="29"/>
      <c r="G100" s="28"/>
      <c r="H100" s="30"/>
      <c r="I100" s="28"/>
      <c r="J100" s="28"/>
      <c r="K100" s="28"/>
      <c r="L100" s="28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</row>
    <row r="101" spans="1:32" ht="42" customHeight="1" x14ac:dyDescent="0.2">
      <c r="A101" s="28"/>
      <c r="B101" s="29"/>
      <c r="C101" s="28"/>
      <c r="D101" s="28"/>
      <c r="E101" s="28"/>
      <c r="F101" s="29"/>
      <c r="G101" s="28"/>
      <c r="I101" s="28"/>
      <c r="J101" s="28"/>
      <c r="K101" s="28"/>
      <c r="L101" s="28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</row>
    <row r="102" spans="1:32" ht="42" customHeight="1" x14ac:dyDescent="0.2">
      <c r="A102" s="28"/>
      <c r="B102" s="29"/>
      <c r="C102" s="28"/>
      <c r="D102" s="28"/>
      <c r="E102" s="28"/>
      <c r="F102" s="29"/>
      <c r="G102" s="28"/>
      <c r="H102" s="30"/>
      <c r="I102" s="28"/>
      <c r="J102" s="28"/>
      <c r="K102" s="28"/>
      <c r="L102" s="28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</row>
    <row r="103" spans="1:32" ht="42" customHeight="1" x14ac:dyDescent="0.2">
      <c r="A103" s="28"/>
      <c r="B103" s="29"/>
      <c r="C103" s="28"/>
      <c r="D103" s="28"/>
      <c r="E103" s="28"/>
      <c r="F103" s="29"/>
      <c r="G103" s="28"/>
      <c r="H103" s="30"/>
      <c r="I103" s="28"/>
      <c r="J103" s="28"/>
      <c r="K103" s="28"/>
      <c r="L103" s="28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</row>
    <row r="104" spans="1:32" ht="42" customHeight="1" x14ac:dyDescent="0.2">
      <c r="A104" s="32"/>
      <c r="B104" s="29"/>
      <c r="C104" s="33"/>
      <c r="D104" s="33"/>
      <c r="E104" s="33"/>
      <c r="F104" s="34"/>
      <c r="G104" s="35"/>
      <c r="H104" s="32"/>
      <c r="I104" s="33"/>
      <c r="J104" s="33"/>
      <c r="K104" s="33"/>
      <c r="L104" s="33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</row>
    <row r="105" spans="1:32" ht="42" customHeight="1" x14ac:dyDescent="0.2">
      <c r="A105" s="32"/>
      <c r="B105" s="29"/>
      <c r="C105" s="33"/>
      <c r="D105" s="33"/>
      <c r="E105" s="33"/>
      <c r="F105" s="34"/>
      <c r="G105" s="35"/>
      <c r="H105" s="32"/>
      <c r="I105" s="33"/>
      <c r="J105" s="33"/>
      <c r="K105" s="33"/>
      <c r="L105" s="33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</row>
    <row r="106" spans="1:32" ht="42" customHeight="1" x14ac:dyDescent="0.2">
      <c r="A106" s="32"/>
      <c r="B106" s="29"/>
      <c r="C106" s="33"/>
      <c r="D106" s="33"/>
      <c r="E106" s="33"/>
      <c r="F106" s="34"/>
      <c r="G106" s="35"/>
      <c r="H106" s="32"/>
      <c r="I106" s="33"/>
      <c r="J106" s="33"/>
      <c r="K106" s="33"/>
      <c r="L106" s="33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</row>
    <row r="107" spans="1:32" ht="42" customHeight="1" x14ac:dyDescent="0.55000000000000004">
      <c r="A107" s="36"/>
      <c r="B107" s="37" t="s">
        <v>252</v>
      </c>
      <c r="C107" s="38"/>
      <c r="D107" s="38"/>
      <c r="E107" s="38"/>
      <c r="F107" s="37" t="s">
        <v>253</v>
      </c>
      <c r="G107" s="39"/>
      <c r="H107" s="40"/>
      <c r="I107" s="111" t="s">
        <v>14</v>
      </c>
      <c r="J107" s="40"/>
      <c r="K107" s="41"/>
      <c r="L107" s="41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40"/>
      <c r="AC107" s="40"/>
      <c r="AD107" s="40"/>
      <c r="AE107" s="40"/>
      <c r="AF107" s="40"/>
    </row>
    <row r="108" spans="1:32" ht="42" customHeight="1" x14ac:dyDescent="0.55000000000000004">
      <c r="A108" s="36"/>
      <c r="B108" s="37" t="s">
        <v>1058</v>
      </c>
      <c r="C108" s="38"/>
      <c r="D108" s="38"/>
      <c r="E108" s="38"/>
      <c r="F108" s="37" t="s">
        <v>16</v>
      </c>
      <c r="G108" s="39"/>
      <c r="H108" s="40"/>
      <c r="I108" s="111" t="s">
        <v>895</v>
      </c>
      <c r="J108" s="40"/>
      <c r="K108" s="41"/>
      <c r="L108" s="41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40"/>
      <c r="AC108" s="40"/>
      <c r="AD108" s="40"/>
      <c r="AE108" s="40"/>
      <c r="AF108" s="40"/>
    </row>
    <row r="109" spans="1:32" ht="42" customHeight="1" x14ac:dyDescent="0.55000000000000004">
      <c r="A109" s="36"/>
      <c r="B109" s="37" t="s">
        <v>254</v>
      </c>
      <c r="C109" s="37"/>
      <c r="D109" s="37"/>
      <c r="E109" s="37"/>
      <c r="F109" s="37" t="s">
        <v>255</v>
      </c>
      <c r="G109" s="37"/>
      <c r="H109" s="40"/>
      <c r="I109" s="39" t="s">
        <v>256</v>
      </c>
      <c r="J109" s="41"/>
      <c r="K109" s="41"/>
      <c r="L109" s="41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40"/>
      <c r="AC109" s="40"/>
      <c r="AD109" s="40"/>
      <c r="AE109" s="40"/>
      <c r="AF109" s="40"/>
    </row>
    <row r="110" spans="1:32" ht="12.75" customHeight="1" x14ac:dyDescent="0.55000000000000004">
      <c r="A110" s="42"/>
      <c r="B110" s="43"/>
      <c r="C110" s="42"/>
      <c r="D110" s="42"/>
      <c r="E110" s="42"/>
      <c r="F110" s="43"/>
      <c r="G110" s="42"/>
      <c r="H110" s="44"/>
      <c r="I110" s="42"/>
      <c r="J110" s="42"/>
      <c r="K110" s="42"/>
      <c r="L110" s="42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6"/>
      <c r="AC110" s="46"/>
      <c r="AD110" s="46"/>
      <c r="AE110" s="46"/>
      <c r="AF110" s="46"/>
    </row>
    <row r="111" spans="1:32" ht="12.75" customHeight="1" x14ac:dyDescent="0.2">
      <c r="A111" s="47"/>
      <c r="B111" s="48"/>
      <c r="C111" s="47"/>
      <c r="D111" s="47"/>
      <c r="E111" s="47"/>
      <c r="F111" s="48"/>
      <c r="G111" s="47"/>
      <c r="H111" s="49"/>
      <c r="I111" s="47"/>
      <c r="J111" s="47"/>
      <c r="K111" s="47"/>
      <c r="L111" s="47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  <c r="AA111" s="50"/>
    </row>
    <row r="112" spans="1:32" ht="12.75" customHeight="1" x14ac:dyDescent="0.2">
      <c r="A112" s="28"/>
      <c r="B112" s="51"/>
      <c r="C112" s="51"/>
      <c r="D112" s="51"/>
      <c r="E112" s="51"/>
      <c r="F112" s="51"/>
      <c r="G112" s="51"/>
      <c r="H112" s="30"/>
      <c r="I112" s="28"/>
      <c r="J112" s="28"/>
      <c r="K112" s="28"/>
      <c r="L112" s="28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</row>
    <row r="113" spans="1:27" ht="12.75" customHeight="1" x14ac:dyDescent="0.2">
      <c r="A113" s="28"/>
      <c r="B113" s="51"/>
      <c r="C113" s="51"/>
      <c r="D113" s="51"/>
      <c r="E113" s="51"/>
      <c r="F113" s="51"/>
      <c r="G113" s="51"/>
      <c r="H113" s="30"/>
      <c r="I113" s="28"/>
      <c r="J113" s="28"/>
      <c r="K113" s="28"/>
      <c r="L113" s="28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</row>
    <row r="114" spans="1:27" ht="12.75" customHeight="1" x14ac:dyDescent="0.2">
      <c r="A114" s="28"/>
      <c r="B114" s="51"/>
      <c r="C114" s="51"/>
      <c r="D114" s="51"/>
      <c r="E114" s="51"/>
      <c r="F114" s="51"/>
      <c r="G114" s="51"/>
      <c r="H114" s="30"/>
      <c r="I114" s="28"/>
      <c r="J114" s="28"/>
      <c r="K114" s="28"/>
      <c r="L114" s="28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</row>
    <row r="115" spans="1:27" ht="12.75" customHeight="1" x14ac:dyDescent="0.2">
      <c r="A115" s="28"/>
      <c r="B115" s="51"/>
      <c r="C115" s="51"/>
      <c r="D115" s="51"/>
      <c r="E115" s="51"/>
      <c r="F115" s="51"/>
      <c r="G115" s="51"/>
      <c r="H115" s="30"/>
      <c r="I115" s="28"/>
      <c r="J115" s="28"/>
      <c r="K115" s="28"/>
      <c r="L115" s="28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</row>
    <row r="116" spans="1:27" ht="12.75" customHeight="1" x14ac:dyDescent="0.2">
      <c r="A116" s="28"/>
      <c r="B116" s="51"/>
      <c r="C116" s="51"/>
      <c r="D116" s="51"/>
      <c r="E116" s="51"/>
      <c r="F116" s="51"/>
      <c r="G116" s="51"/>
      <c r="H116" s="30"/>
      <c r="I116" s="28"/>
      <c r="J116" s="28"/>
      <c r="K116" s="28"/>
      <c r="L116" s="28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</row>
    <row r="117" spans="1:27" ht="12.75" customHeight="1" x14ac:dyDescent="0.2">
      <c r="A117" s="28"/>
      <c r="B117" s="51"/>
      <c r="C117" s="51"/>
      <c r="D117" s="51"/>
      <c r="E117" s="51"/>
      <c r="F117" s="51"/>
      <c r="G117" s="51"/>
      <c r="H117" s="30"/>
      <c r="I117" s="28"/>
      <c r="J117" s="28"/>
      <c r="K117" s="28"/>
      <c r="L117" s="28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</row>
    <row r="118" spans="1:27" ht="12.75" customHeight="1" x14ac:dyDescent="0.2">
      <c r="A118" s="28"/>
      <c r="B118" s="51"/>
      <c r="C118" s="51"/>
      <c r="D118" s="51"/>
      <c r="E118" s="51"/>
      <c r="F118" s="51"/>
      <c r="G118" s="51"/>
      <c r="H118" s="30"/>
      <c r="I118" s="28"/>
      <c r="J118" s="28"/>
      <c r="K118" s="28"/>
      <c r="L118" s="28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</row>
    <row r="119" spans="1:27" ht="12.75" customHeight="1" x14ac:dyDescent="0.2">
      <c r="A119" s="47"/>
      <c r="B119" s="52"/>
      <c r="C119" s="52"/>
      <c r="D119" s="52"/>
      <c r="E119" s="52"/>
      <c r="F119" s="52"/>
      <c r="G119" s="52"/>
      <c r="H119" s="49"/>
      <c r="I119" s="47"/>
      <c r="J119" s="47"/>
      <c r="K119" s="47"/>
      <c r="L119" s="47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  <c r="AA119" s="50"/>
    </row>
    <row r="120" spans="1:27" ht="12.75" customHeight="1" x14ac:dyDescent="0.2">
      <c r="A120" s="47"/>
      <c r="B120" s="52"/>
      <c r="C120" s="52"/>
      <c r="D120" s="52"/>
      <c r="E120" s="52"/>
      <c r="F120" s="52"/>
      <c r="G120" s="52"/>
      <c r="H120" s="49"/>
      <c r="I120" s="47"/>
      <c r="J120" s="47"/>
      <c r="K120" s="47"/>
      <c r="L120" s="47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  <c r="AA120" s="50"/>
    </row>
    <row r="121" spans="1:27" ht="12.75" customHeight="1" x14ac:dyDescent="0.2">
      <c r="A121" s="47"/>
      <c r="B121" s="52"/>
      <c r="C121" s="52"/>
      <c r="D121" s="52"/>
      <c r="E121" s="52"/>
      <c r="F121" s="52"/>
      <c r="G121" s="52"/>
      <c r="H121" s="49"/>
      <c r="I121" s="47"/>
      <c r="J121" s="47"/>
      <c r="K121" s="47"/>
      <c r="L121" s="47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  <c r="AA121" s="50"/>
    </row>
    <row r="122" spans="1:27" ht="12.75" customHeight="1" x14ac:dyDescent="0.2">
      <c r="A122" s="47"/>
      <c r="B122" s="52"/>
      <c r="C122" s="52"/>
      <c r="D122" s="52"/>
      <c r="E122" s="52"/>
      <c r="F122" s="52"/>
      <c r="G122" s="52"/>
      <c r="H122" s="49"/>
      <c r="I122" s="47"/>
      <c r="J122" s="47"/>
      <c r="K122" s="47"/>
      <c r="L122" s="47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  <c r="AA122" s="50"/>
    </row>
    <row r="123" spans="1:27" ht="12.75" customHeight="1" x14ac:dyDescent="0.2">
      <c r="A123" s="47"/>
      <c r="B123" s="52"/>
      <c r="C123" s="52"/>
      <c r="D123" s="52"/>
      <c r="E123" s="52"/>
      <c r="F123" s="52"/>
      <c r="G123" s="52"/>
      <c r="H123" s="49"/>
      <c r="I123" s="47"/>
      <c r="J123" s="47"/>
      <c r="K123" s="47"/>
      <c r="L123" s="47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  <c r="AA123" s="50"/>
    </row>
    <row r="124" spans="1:27" ht="12.75" customHeight="1" x14ac:dyDescent="0.2">
      <c r="A124" s="47"/>
      <c r="B124" s="52"/>
      <c r="C124" s="52"/>
      <c r="D124" s="52"/>
      <c r="E124" s="52"/>
      <c r="F124" s="52"/>
      <c r="G124" s="52"/>
      <c r="H124" s="49"/>
      <c r="I124" s="47"/>
      <c r="J124" s="47"/>
      <c r="K124" s="47"/>
      <c r="L124" s="47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  <c r="AA124" s="50"/>
    </row>
    <row r="125" spans="1:27" ht="12.75" customHeight="1" x14ac:dyDescent="0.2">
      <c r="A125" s="47"/>
      <c r="B125" s="52"/>
      <c r="C125" s="52"/>
      <c r="D125" s="52"/>
      <c r="E125" s="52"/>
      <c r="F125" s="52"/>
      <c r="G125" s="52"/>
      <c r="H125" s="49"/>
      <c r="I125" s="47"/>
      <c r="J125" s="47"/>
      <c r="K125" s="47"/>
      <c r="L125" s="47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  <c r="AA125" s="50"/>
    </row>
    <row r="126" spans="1:27" ht="12.75" customHeight="1" x14ac:dyDescent="0.2">
      <c r="A126" s="47"/>
      <c r="B126" s="52"/>
      <c r="C126" s="52"/>
      <c r="D126" s="52"/>
      <c r="E126" s="52"/>
      <c r="F126" s="52"/>
      <c r="G126" s="52"/>
      <c r="H126" s="49"/>
      <c r="I126" s="47"/>
      <c r="J126" s="47"/>
      <c r="K126" s="47"/>
      <c r="L126" s="47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  <c r="AA126" s="50"/>
    </row>
    <row r="127" spans="1:27" ht="12.75" customHeight="1" x14ac:dyDescent="0.2">
      <c r="A127" s="47"/>
      <c r="B127" s="52"/>
      <c r="C127" s="52"/>
      <c r="D127" s="52"/>
      <c r="E127" s="52"/>
      <c r="F127" s="52"/>
      <c r="G127" s="52"/>
      <c r="H127" s="49"/>
      <c r="I127" s="47"/>
      <c r="J127" s="47"/>
      <c r="K127" s="47"/>
      <c r="L127" s="47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  <c r="AA127" s="50"/>
    </row>
    <row r="128" spans="1:27" ht="12.75" customHeight="1" x14ac:dyDescent="0.2">
      <c r="A128" s="47"/>
      <c r="B128" s="52"/>
      <c r="C128" s="52"/>
      <c r="D128" s="52"/>
      <c r="E128" s="52"/>
      <c r="F128" s="52"/>
      <c r="G128" s="52"/>
      <c r="H128" s="49"/>
      <c r="I128" s="47"/>
      <c r="J128" s="47"/>
      <c r="K128" s="47"/>
      <c r="L128" s="47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  <c r="AA128" s="50"/>
    </row>
    <row r="129" spans="1:31" ht="12.75" customHeight="1" x14ac:dyDescent="0.2">
      <c r="A129" s="47"/>
      <c r="B129" s="52"/>
      <c r="C129" s="52"/>
      <c r="D129" s="52"/>
      <c r="E129" s="52"/>
      <c r="F129" s="52"/>
      <c r="G129" s="52"/>
      <c r="H129" s="49"/>
      <c r="I129" s="47"/>
      <c r="J129" s="47"/>
      <c r="K129" s="47"/>
      <c r="L129" s="47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  <c r="AA129" s="50"/>
    </row>
    <row r="130" spans="1:31" ht="12.75" customHeight="1" x14ac:dyDescent="0.2">
      <c r="A130" s="47"/>
      <c r="B130" s="52"/>
      <c r="C130" s="52"/>
      <c r="D130" s="52"/>
      <c r="E130" s="52"/>
      <c r="F130" s="52"/>
      <c r="G130" s="52"/>
      <c r="H130" s="49"/>
      <c r="I130" s="47"/>
      <c r="J130" s="47"/>
      <c r="K130" s="47"/>
      <c r="L130" s="47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  <c r="AA130" s="50"/>
    </row>
    <row r="131" spans="1:31" ht="12.75" customHeight="1" x14ac:dyDescent="0.2">
      <c r="A131" s="47"/>
      <c r="B131" s="52"/>
      <c r="C131" s="52"/>
      <c r="D131" s="52"/>
      <c r="E131" s="52"/>
      <c r="F131" s="52"/>
      <c r="G131" s="52"/>
      <c r="H131" s="49"/>
      <c r="I131" s="47"/>
      <c r="J131" s="47"/>
      <c r="K131" s="47"/>
      <c r="L131" s="47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  <c r="AA131" s="50"/>
    </row>
    <row r="132" spans="1:31" ht="12.75" customHeight="1" x14ac:dyDescent="0.2">
      <c r="A132" s="47"/>
      <c r="B132" s="52"/>
      <c r="C132" s="52"/>
      <c r="D132" s="52"/>
      <c r="E132" s="52"/>
      <c r="F132" s="52"/>
      <c r="G132" s="52"/>
      <c r="H132" s="49"/>
      <c r="I132" s="47"/>
      <c r="J132" s="47"/>
      <c r="K132" s="47"/>
      <c r="L132" s="47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  <c r="AA132" s="50"/>
    </row>
    <row r="133" spans="1:31" ht="12.75" customHeight="1" x14ac:dyDescent="0.2">
      <c r="A133" s="47"/>
      <c r="B133" s="52"/>
      <c r="C133" s="52"/>
      <c r="D133" s="52"/>
      <c r="E133" s="52"/>
      <c r="F133" s="52"/>
      <c r="G133" s="52"/>
      <c r="H133" s="49"/>
      <c r="I133" s="47"/>
      <c r="J133" s="47"/>
      <c r="K133" s="47"/>
      <c r="L133" s="47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  <c r="AA133" s="50"/>
    </row>
    <row r="134" spans="1:31" ht="12.75" customHeight="1" x14ac:dyDescent="0.2">
      <c r="A134" s="47"/>
      <c r="B134" s="52"/>
      <c r="C134" s="52"/>
      <c r="D134" s="52"/>
      <c r="E134" s="52"/>
      <c r="F134" s="52"/>
      <c r="G134" s="52"/>
      <c r="H134" s="49"/>
      <c r="I134" s="47"/>
      <c r="J134" s="47"/>
      <c r="K134" s="47"/>
      <c r="L134" s="47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  <c r="AA134" s="50"/>
    </row>
    <row r="135" spans="1:31" ht="12.75" customHeight="1" x14ac:dyDescent="0.2">
      <c r="A135" s="47"/>
      <c r="B135" s="52"/>
      <c r="C135" s="52"/>
      <c r="D135" s="52"/>
      <c r="E135" s="52"/>
      <c r="F135" s="52"/>
      <c r="G135" s="52"/>
      <c r="H135" s="49"/>
      <c r="I135" s="47"/>
      <c r="J135" s="47"/>
      <c r="K135" s="47"/>
      <c r="L135" s="47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  <c r="AA135" s="50"/>
    </row>
    <row r="136" spans="1:31" ht="12.75" customHeight="1" x14ac:dyDescent="0.2">
      <c r="A136" s="47"/>
      <c r="B136" s="52"/>
      <c r="C136" s="52"/>
      <c r="D136" s="52"/>
      <c r="E136" s="52"/>
      <c r="F136" s="52"/>
      <c r="G136" s="52"/>
      <c r="H136" s="49"/>
      <c r="I136" s="47"/>
      <c r="J136" s="47"/>
      <c r="K136" s="47"/>
      <c r="L136" s="47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  <c r="AA136" s="50"/>
    </row>
    <row r="137" spans="1:31" ht="12.75" customHeight="1" x14ac:dyDescent="0.2">
      <c r="A137" s="47"/>
      <c r="B137" s="52"/>
      <c r="C137" s="52"/>
      <c r="D137" s="52"/>
      <c r="E137" s="52"/>
      <c r="F137" s="52"/>
      <c r="G137" s="52"/>
      <c r="H137" s="49"/>
      <c r="I137" s="47"/>
      <c r="J137" s="47"/>
      <c r="K137" s="47"/>
      <c r="L137" s="47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  <c r="AA137" s="50"/>
    </row>
    <row r="138" spans="1:31" ht="12.75" customHeight="1" x14ac:dyDescent="0.2">
      <c r="A138" s="47"/>
      <c r="B138" s="52"/>
      <c r="C138" s="52"/>
      <c r="D138" s="52"/>
      <c r="E138" s="52"/>
      <c r="F138" s="52"/>
      <c r="G138" s="52"/>
      <c r="H138" s="49"/>
      <c r="I138" s="47"/>
      <c r="J138" s="47"/>
      <c r="K138" s="47"/>
      <c r="L138" s="47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  <c r="AA138" s="50"/>
    </row>
    <row r="139" spans="1:31" ht="12.75" customHeight="1" x14ac:dyDescent="0.2">
      <c r="A139" s="47"/>
      <c r="B139" s="52"/>
      <c r="C139" s="52"/>
      <c r="D139" s="52"/>
      <c r="E139" s="52"/>
      <c r="F139" s="52"/>
      <c r="G139" s="52"/>
      <c r="H139" s="49"/>
      <c r="I139" s="47"/>
      <c r="J139" s="47"/>
      <c r="K139" s="47"/>
      <c r="L139" s="47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  <c r="AA139" s="50"/>
    </row>
    <row r="140" spans="1:31" ht="12.75" customHeight="1" x14ac:dyDescent="0.2">
      <c r="A140" s="47"/>
      <c r="B140" s="52"/>
      <c r="C140" s="52"/>
      <c r="D140" s="52"/>
      <c r="E140" s="52"/>
      <c r="F140" s="52"/>
      <c r="G140" s="52"/>
      <c r="H140" s="49"/>
      <c r="I140" s="47"/>
      <c r="J140" s="47"/>
      <c r="K140" s="47"/>
      <c r="L140" s="47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  <c r="AA140" s="50"/>
      <c r="AE140" s="53"/>
    </row>
    <row r="141" spans="1:31" ht="12.75" customHeight="1" x14ac:dyDescent="0.2">
      <c r="A141" s="47"/>
      <c r="B141" s="52"/>
      <c r="C141" s="52"/>
      <c r="D141" s="52"/>
      <c r="E141" s="52"/>
      <c r="F141" s="52"/>
      <c r="G141" s="52"/>
      <c r="H141" s="49"/>
      <c r="I141" s="47"/>
      <c r="J141" s="47"/>
      <c r="K141" s="47"/>
      <c r="L141" s="47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  <c r="AA141" s="50"/>
    </row>
    <row r="142" spans="1:31" ht="12.75" customHeight="1" x14ac:dyDescent="0.2">
      <c r="A142" s="47"/>
      <c r="B142" s="52"/>
      <c r="C142" s="52"/>
      <c r="D142" s="52"/>
      <c r="E142" s="52"/>
      <c r="F142" s="52"/>
      <c r="G142" s="52"/>
      <c r="H142" s="49"/>
      <c r="I142" s="47"/>
      <c r="J142" s="47"/>
      <c r="K142" s="47"/>
      <c r="L142" s="47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  <c r="AA142" s="50"/>
    </row>
    <row r="143" spans="1:31" ht="12.75" customHeight="1" x14ac:dyDescent="0.2">
      <c r="A143" s="47"/>
      <c r="B143" s="52"/>
      <c r="C143" s="52"/>
      <c r="D143" s="52"/>
      <c r="E143" s="52"/>
      <c r="F143" s="52"/>
      <c r="G143" s="52"/>
      <c r="H143" s="49"/>
      <c r="I143" s="47"/>
      <c r="J143" s="47"/>
      <c r="K143" s="47"/>
      <c r="L143" s="47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  <c r="AA143" s="50"/>
    </row>
    <row r="144" spans="1:31" ht="12.75" customHeight="1" x14ac:dyDescent="0.2">
      <c r="A144" s="47"/>
      <c r="B144" s="52"/>
      <c r="C144" s="52"/>
      <c r="D144" s="52"/>
      <c r="E144" s="52"/>
      <c r="F144" s="52"/>
      <c r="G144" s="52"/>
      <c r="H144" s="49"/>
      <c r="I144" s="47"/>
      <c r="J144" s="47"/>
      <c r="K144" s="47"/>
      <c r="L144" s="47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  <c r="AA144" s="50"/>
    </row>
    <row r="145" spans="1:27" ht="12.75" customHeight="1" x14ac:dyDescent="0.2">
      <c r="A145" s="47"/>
      <c r="B145" s="52"/>
      <c r="C145" s="52"/>
      <c r="D145" s="52"/>
      <c r="E145" s="52"/>
      <c r="F145" s="52"/>
      <c r="G145" s="52"/>
      <c r="H145" s="49"/>
      <c r="I145" s="47"/>
      <c r="J145" s="47"/>
      <c r="K145" s="47"/>
      <c r="L145" s="47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  <c r="AA145" s="50"/>
    </row>
    <row r="146" spans="1:27" ht="12.75" customHeight="1" x14ac:dyDescent="0.2">
      <c r="A146" s="47"/>
      <c r="B146" s="52"/>
      <c r="C146" s="52"/>
      <c r="D146" s="52"/>
      <c r="E146" s="52"/>
      <c r="F146" s="52"/>
      <c r="G146" s="52"/>
      <c r="H146" s="49"/>
      <c r="I146" s="47"/>
      <c r="J146" s="47"/>
      <c r="K146" s="47"/>
      <c r="L146" s="47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  <c r="AA146" s="50"/>
    </row>
    <row r="147" spans="1:27" ht="12.75" customHeight="1" x14ac:dyDescent="0.2">
      <c r="A147" s="47"/>
      <c r="B147" s="52"/>
      <c r="C147" s="52"/>
      <c r="D147" s="52"/>
      <c r="E147" s="52"/>
      <c r="F147" s="52"/>
      <c r="G147" s="52"/>
      <c r="H147" s="49"/>
      <c r="I147" s="47"/>
      <c r="J147" s="47"/>
      <c r="K147" s="47"/>
      <c r="L147" s="47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  <c r="AA147" s="50"/>
    </row>
    <row r="148" spans="1:27" ht="12.75" customHeight="1" x14ac:dyDescent="0.2">
      <c r="A148" s="47"/>
      <c r="B148" s="52"/>
      <c r="C148" s="52"/>
      <c r="D148" s="52"/>
      <c r="E148" s="52"/>
      <c r="F148" s="52"/>
      <c r="G148" s="52"/>
      <c r="H148" s="49"/>
      <c r="I148" s="47"/>
      <c r="J148" s="47"/>
      <c r="K148" s="47"/>
      <c r="L148" s="47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  <c r="AA148" s="50"/>
    </row>
    <row r="149" spans="1:27" ht="12.75" customHeight="1" x14ac:dyDescent="0.2">
      <c r="A149" s="47"/>
      <c r="B149" s="52"/>
      <c r="C149" s="52"/>
      <c r="D149" s="52"/>
      <c r="E149" s="52"/>
      <c r="F149" s="52"/>
      <c r="G149" s="52"/>
      <c r="H149" s="49"/>
      <c r="I149" s="47"/>
      <c r="J149" s="47"/>
      <c r="K149" s="47"/>
      <c r="L149" s="47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  <c r="AA149" s="50"/>
    </row>
    <row r="150" spans="1:27" ht="12.75" customHeight="1" x14ac:dyDescent="0.2">
      <c r="A150" s="47"/>
      <c r="B150" s="52"/>
      <c r="C150" s="52"/>
      <c r="D150" s="52"/>
      <c r="E150" s="52"/>
      <c r="F150" s="52"/>
      <c r="G150" s="52"/>
      <c r="H150" s="49"/>
      <c r="I150" s="47"/>
      <c r="J150" s="47"/>
      <c r="K150" s="47"/>
      <c r="L150" s="47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  <c r="AA150" s="50"/>
    </row>
    <row r="151" spans="1:27" ht="12.75" customHeight="1" x14ac:dyDescent="0.2">
      <c r="A151" s="47"/>
      <c r="B151" s="52"/>
      <c r="C151" s="52"/>
      <c r="D151" s="52"/>
      <c r="E151" s="52"/>
      <c r="F151" s="52"/>
      <c r="G151" s="52"/>
      <c r="H151" s="49"/>
      <c r="I151" s="47"/>
      <c r="J151" s="47"/>
      <c r="K151" s="47"/>
      <c r="L151" s="47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  <c r="AA151" s="50"/>
    </row>
    <row r="152" spans="1:27" ht="12.75" customHeight="1" x14ac:dyDescent="0.2">
      <c r="A152" s="47"/>
      <c r="B152" s="52"/>
      <c r="C152" s="52"/>
      <c r="D152" s="52"/>
      <c r="E152" s="52"/>
      <c r="F152" s="52"/>
      <c r="G152" s="52"/>
      <c r="H152" s="49"/>
      <c r="I152" s="47"/>
      <c r="J152" s="47"/>
      <c r="K152" s="47"/>
      <c r="L152" s="47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  <c r="AA152" s="50"/>
    </row>
    <row r="153" spans="1:27" ht="12.75" customHeight="1" x14ac:dyDescent="0.2">
      <c r="A153" s="47"/>
      <c r="B153" s="52"/>
      <c r="C153" s="52"/>
      <c r="D153" s="52"/>
      <c r="E153" s="52"/>
      <c r="F153" s="52"/>
      <c r="G153" s="52"/>
      <c r="H153" s="49"/>
      <c r="I153" s="47"/>
      <c r="J153" s="47"/>
      <c r="K153" s="47"/>
      <c r="L153" s="47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  <c r="AA153" s="50"/>
    </row>
    <row r="154" spans="1:27" ht="12.75" customHeight="1" x14ac:dyDescent="0.2">
      <c r="A154" s="47"/>
      <c r="B154" s="52"/>
      <c r="C154" s="52"/>
      <c r="D154" s="52"/>
      <c r="E154" s="52"/>
      <c r="F154" s="52"/>
      <c r="G154" s="52"/>
      <c r="H154" s="49"/>
      <c r="I154" s="47"/>
      <c r="J154" s="47"/>
      <c r="K154" s="47"/>
      <c r="L154" s="47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  <c r="AA154" s="50"/>
    </row>
    <row r="155" spans="1:27" ht="12.75" customHeight="1" x14ac:dyDescent="0.2">
      <c r="A155" s="47"/>
      <c r="B155" s="52"/>
      <c r="C155" s="52"/>
      <c r="D155" s="52"/>
      <c r="E155" s="52"/>
      <c r="F155" s="52"/>
      <c r="G155" s="52"/>
      <c r="H155" s="49"/>
      <c r="I155" s="47"/>
      <c r="J155" s="47"/>
      <c r="K155" s="47"/>
      <c r="L155" s="47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  <c r="AA155" s="50"/>
    </row>
    <row r="156" spans="1:27" ht="12.75" customHeight="1" x14ac:dyDescent="0.2">
      <c r="A156" s="47"/>
      <c r="B156" s="52"/>
      <c r="C156" s="52"/>
      <c r="D156" s="52"/>
      <c r="E156" s="52"/>
      <c r="F156" s="52"/>
      <c r="G156" s="52"/>
      <c r="H156" s="49"/>
      <c r="I156" s="47"/>
      <c r="J156" s="47"/>
      <c r="K156" s="47"/>
      <c r="L156" s="47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  <c r="AA156" s="50"/>
    </row>
    <row r="157" spans="1:27" ht="12.75" customHeight="1" x14ac:dyDescent="0.2">
      <c r="A157" s="47"/>
      <c r="B157" s="52"/>
      <c r="C157" s="52"/>
      <c r="D157" s="52"/>
      <c r="E157" s="52"/>
      <c r="F157" s="52"/>
      <c r="G157" s="52"/>
      <c r="H157" s="49"/>
      <c r="I157" s="47"/>
      <c r="J157" s="47"/>
      <c r="K157" s="47"/>
      <c r="L157" s="47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  <c r="AA157" s="50"/>
    </row>
    <row r="158" spans="1:27" ht="12.75" customHeight="1" x14ac:dyDescent="0.2">
      <c r="A158" s="47"/>
      <c r="B158" s="52"/>
      <c r="C158" s="52"/>
      <c r="D158" s="52"/>
      <c r="E158" s="52"/>
      <c r="F158" s="52"/>
      <c r="G158" s="52"/>
      <c r="H158" s="49"/>
      <c r="I158" s="47"/>
      <c r="J158" s="47"/>
      <c r="K158" s="47"/>
      <c r="L158" s="47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  <c r="AA158" s="50"/>
    </row>
    <row r="159" spans="1:27" ht="12.75" customHeight="1" x14ac:dyDescent="0.2">
      <c r="A159" s="47"/>
      <c r="B159" s="52"/>
      <c r="C159" s="52"/>
      <c r="D159" s="52"/>
      <c r="E159" s="52"/>
      <c r="F159" s="52"/>
      <c r="G159" s="52"/>
      <c r="H159" s="49"/>
      <c r="I159" s="47"/>
      <c r="J159" s="47"/>
      <c r="K159" s="47"/>
      <c r="L159" s="47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  <c r="AA159" s="50"/>
    </row>
    <row r="160" spans="1:27" ht="12.75" customHeight="1" x14ac:dyDescent="0.2">
      <c r="A160" s="47"/>
      <c r="B160" s="52"/>
      <c r="C160" s="52"/>
      <c r="D160" s="52"/>
      <c r="E160" s="52"/>
      <c r="F160" s="52"/>
      <c r="G160" s="52"/>
      <c r="H160" s="49"/>
      <c r="I160" s="47"/>
      <c r="J160" s="47"/>
      <c r="K160" s="47"/>
      <c r="L160" s="47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  <c r="AA160" s="50"/>
    </row>
    <row r="161" spans="1:27" ht="12.75" customHeight="1" x14ac:dyDescent="0.2">
      <c r="A161" s="47"/>
      <c r="B161" s="52"/>
      <c r="C161" s="52"/>
      <c r="D161" s="52"/>
      <c r="E161" s="52"/>
      <c r="F161" s="52"/>
      <c r="G161" s="52"/>
      <c r="H161" s="49"/>
      <c r="I161" s="47"/>
      <c r="J161" s="47"/>
      <c r="K161" s="47"/>
      <c r="L161" s="47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  <c r="AA161" s="50"/>
    </row>
    <row r="162" spans="1:27" ht="12.75" customHeight="1" x14ac:dyDescent="0.2">
      <c r="A162" s="47"/>
      <c r="B162" s="52"/>
      <c r="C162" s="52"/>
      <c r="D162" s="52"/>
      <c r="E162" s="52"/>
      <c r="F162" s="52"/>
      <c r="G162" s="52"/>
      <c r="H162" s="49"/>
      <c r="I162" s="47"/>
      <c r="J162" s="47"/>
      <c r="K162" s="47"/>
      <c r="L162" s="47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  <c r="AA162" s="50"/>
    </row>
    <row r="163" spans="1:27" ht="12.75" customHeight="1" x14ac:dyDescent="0.2">
      <c r="A163" s="47"/>
      <c r="B163" s="52"/>
      <c r="C163" s="52"/>
      <c r="D163" s="52"/>
      <c r="E163" s="52"/>
      <c r="F163" s="52"/>
      <c r="G163" s="52"/>
      <c r="H163" s="49"/>
      <c r="I163" s="47"/>
      <c r="J163" s="47"/>
      <c r="K163" s="47"/>
      <c r="L163" s="47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  <c r="AA163" s="50"/>
    </row>
    <row r="164" spans="1:27" ht="12.75" customHeight="1" x14ac:dyDescent="0.2">
      <c r="A164" s="47"/>
      <c r="B164" s="52"/>
      <c r="C164" s="52"/>
      <c r="D164" s="52"/>
      <c r="E164" s="52"/>
      <c r="F164" s="52"/>
      <c r="G164" s="52"/>
      <c r="H164" s="49"/>
      <c r="I164" s="47"/>
      <c r="J164" s="47"/>
      <c r="K164" s="47"/>
      <c r="L164" s="47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  <c r="AA164" s="50"/>
    </row>
    <row r="165" spans="1:27" ht="12.75" customHeight="1" x14ac:dyDescent="0.2">
      <c r="A165" s="47"/>
      <c r="B165" s="52"/>
      <c r="C165" s="52"/>
      <c r="D165" s="52"/>
      <c r="E165" s="52"/>
      <c r="F165" s="52"/>
      <c r="G165" s="52"/>
      <c r="H165" s="49"/>
      <c r="I165" s="47"/>
      <c r="J165" s="47"/>
      <c r="K165" s="47"/>
      <c r="L165" s="47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  <c r="AA165" s="50"/>
    </row>
    <row r="166" spans="1:27" ht="12.75" customHeight="1" x14ac:dyDescent="0.2">
      <c r="A166" s="47"/>
      <c r="B166" s="52"/>
      <c r="C166" s="52"/>
      <c r="D166" s="52"/>
      <c r="E166" s="52"/>
      <c r="F166" s="52"/>
      <c r="G166" s="52"/>
      <c r="H166" s="49"/>
      <c r="I166" s="47"/>
      <c r="J166" s="47"/>
      <c r="K166" s="47"/>
      <c r="L166" s="47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  <c r="AA166" s="50"/>
    </row>
    <row r="167" spans="1:27" ht="12.75" customHeight="1" x14ac:dyDescent="0.2">
      <c r="A167" s="47"/>
      <c r="B167" s="52"/>
      <c r="C167" s="52"/>
      <c r="D167" s="52"/>
      <c r="E167" s="52"/>
      <c r="F167" s="52"/>
      <c r="G167" s="52"/>
      <c r="H167" s="49"/>
      <c r="I167" s="47"/>
      <c r="J167" s="47"/>
      <c r="K167" s="47"/>
      <c r="L167" s="47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  <c r="AA167" s="50"/>
    </row>
    <row r="168" spans="1:27" ht="12.75" customHeight="1" x14ac:dyDescent="0.2">
      <c r="A168" s="47"/>
      <c r="B168" s="52"/>
      <c r="C168" s="52"/>
      <c r="D168" s="52"/>
      <c r="E168" s="52"/>
      <c r="F168" s="52"/>
      <c r="G168" s="52"/>
      <c r="H168" s="49"/>
      <c r="I168" s="47"/>
      <c r="J168" s="47"/>
      <c r="K168" s="47"/>
      <c r="L168" s="47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  <c r="AA168" s="50"/>
    </row>
    <row r="169" spans="1:27" ht="12.75" customHeight="1" x14ac:dyDescent="0.2">
      <c r="A169" s="47"/>
      <c r="B169" s="52"/>
      <c r="C169" s="52"/>
      <c r="D169" s="52"/>
      <c r="E169" s="52"/>
      <c r="F169" s="52"/>
      <c r="G169" s="52"/>
      <c r="H169" s="49"/>
      <c r="I169" s="47"/>
      <c r="J169" s="47"/>
      <c r="K169" s="47"/>
      <c r="L169" s="47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  <c r="AA169" s="50"/>
    </row>
    <row r="170" spans="1:27" ht="12.75" customHeight="1" x14ac:dyDescent="0.2">
      <c r="A170" s="47"/>
      <c r="B170" s="52"/>
      <c r="C170" s="52"/>
      <c r="D170" s="52"/>
      <c r="E170" s="52"/>
      <c r="F170" s="52"/>
      <c r="G170" s="52"/>
      <c r="H170" s="49"/>
      <c r="I170" s="47"/>
      <c r="J170" s="47"/>
      <c r="K170" s="47"/>
      <c r="L170" s="47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  <c r="AA170" s="50"/>
    </row>
    <row r="171" spans="1:27" ht="12.75" customHeight="1" x14ac:dyDescent="0.2">
      <c r="A171" s="47"/>
      <c r="B171" s="52"/>
      <c r="C171" s="52"/>
      <c r="D171" s="52"/>
      <c r="E171" s="52"/>
      <c r="F171" s="52"/>
      <c r="G171" s="52"/>
      <c r="H171" s="49"/>
      <c r="I171" s="47"/>
      <c r="J171" s="47"/>
      <c r="K171" s="47"/>
      <c r="L171" s="47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  <c r="AA171" s="50"/>
    </row>
    <row r="172" spans="1:27" ht="12.75" customHeight="1" x14ac:dyDescent="0.2">
      <c r="A172" s="47"/>
      <c r="B172" s="52"/>
      <c r="C172" s="52"/>
      <c r="D172" s="52"/>
      <c r="E172" s="52"/>
      <c r="F172" s="52"/>
      <c r="G172" s="52"/>
      <c r="H172" s="49"/>
      <c r="I172" s="47"/>
      <c r="J172" s="47"/>
      <c r="K172" s="47"/>
      <c r="L172" s="47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  <c r="AA172" s="50"/>
    </row>
    <row r="173" spans="1:27" ht="12.75" customHeight="1" x14ac:dyDescent="0.2">
      <c r="A173" s="47"/>
      <c r="B173" s="52"/>
      <c r="C173" s="52"/>
      <c r="D173" s="52"/>
      <c r="E173" s="52"/>
      <c r="F173" s="52"/>
      <c r="G173" s="52"/>
      <c r="H173" s="49"/>
      <c r="I173" s="47"/>
      <c r="J173" s="47"/>
      <c r="K173" s="47"/>
      <c r="L173" s="47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  <c r="AA173" s="50"/>
    </row>
    <row r="174" spans="1:27" ht="12.75" customHeight="1" x14ac:dyDescent="0.2">
      <c r="A174" s="47"/>
      <c r="B174" s="52"/>
      <c r="C174" s="52"/>
      <c r="D174" s="52"/>
      <c r="E174" s="52"/>
      <c r="F174" s="52"/>
      <c r="G174" s="52"/>
      <c r="H174" s="49"/>
      <c r="I174" s="47"/>
      <c r="J174" s="47"/>
      <c r="K174" s="47"/>
      <c r="L174" s="47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  <c r="AA174" s="50"/>
    </row>
    <row r="175" spans="1:27" ht="12.75" customHeight="1" x14ac:dyDescent="0.2">
      <c r="A175" s="47"/>
      <c r="B175" s="52"/>
      <c r="C175" s="52"/>
      <c r="D175" s="52"/>
      <c r="E175" s="52"/>
      <c r="F175" s="52"/>
      <c r="G175" s="52"/>
      <c r="H175" s="49"/>
      <c r="I175" s="47"/>
      <c r="J175" s="47"/>
      <c r="K175" s="47"/>
      <c r="L175" s="47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  <c r="AA175" s="50"/>
    </row>
    <row r="176" spans="1:27" ht="12.75" customHeight="1" x14ac:dyDescent="0.2">
      <c r="A176" s="47"/>
      <c r="B176" s="52"/>
      <c r="C176" s="52"/>
      <c r="D176" s="52"/>
      <c r="E176" s="52"/>
      <c r="F176" s="52"/>
      <c r="G176" s="52"/>
      <c r="H176" s="49"/>
      <c r="I176" s="47"/>
      <c r="J176" s="47"/>
      <c r="K176" s="47"/>
      <c r="L176" s="47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  <c r="AA176" s="50"/>
    </row>
    <row r="177" spans="1:27" ht="12.75" customHeight="1" x14ac:dyDescent="0.2">
      <c r="A177" s="47"/>
      <c r="B177" s="52"/>
      <c r="C177" s="52"/>
      <c r="D177" s="52"/>
      <c r="E177" s="52"/>
      <c r="F177" s="52"/>
      <c r="G177" s="52"/>
      <c r="H177" s="49"/>
      <c r="I177" s="47"/>
      <c r="J177" s="47"/>
      <c r="K177" s="47"/>
      <c r="L177" s="47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  <c r="AA177" s="50"/>
    </row>
    <row r="178" spans="1:27" ht="12.75" customHeight="1" x14ac:dyDescent="0.2">
      <c r="A178" s="47"/>
      <c r="B178" s="52"/>
      <c r="C178" s="52"/>
      <c r="D178" s="52"/>
      <c r="E178" s="52"/>
      <c r="F178" s="52"/>
      <c r="G178" s="52"/>
      <c r="H178" s="49"/>
      <c r="I178" s="47"/>
      <c r="J178" s="47"/>
      <c r="K178" s="47"/>
      <c r="L178" s="47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  <c r="AA178" s="50"/>
    </row>
    <row r="179" spans="1:27" ht="12.75" customHeight="1" x14ac:dyDescent="0.2">
      <c r="A179" s="47"/>
      <c r="B179" s="52"/>
      <c r="C179" s="52"/>
      <c r="D179" s="52"/>
      <c r="E179" s="52"/>
      <c r="F179" s="52"/>
      <c r="G179" s="52"/>
      <c r="H179" s="49"/>
      <c r="I179" s="47"/>
      <c r="J179" s="47"/>
      <c r="K179" s="47"/>
      <c r="L179" s="47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  <c r="AA179" s="50"/>
    </row>
    <row r="180" spans="1:27" ht="12.75" customHeight="1" x14ac:dyDescent="0.2">
      <c r="A180" s="47"/>
      <c r="B180" s="52"/>
      <c r="C180" s="52"/>
      <c r="D180" s="52"/>
      <c r="E180" s="52"/>
      <c r="F180" s="52"/>
      <c r="G180" s="52"/>
      <c r="H180" s="49"/>
      <c r="I180" s="47"/>
      <c r="J180" s="47"/>
      <c r="K180" s="47"/>
      <c r="L180" s="47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  <c r="AA180" s="50"/>
    </row>
    <row r="181" spans="1:27" ht="12.75" customHeight="1" x14ac:dyDescent="0.2">
      <c r="A181" s="47"/>
      <c r="B181" s="52"/>
      <c r="C181" s="52"/>
      <c r="D181" s="52"/>
      <c r="E181" s="52"/>
      <c r="F181" s="52"/>
      <c r="G181" s="52"/>
      <c r="H181" s="49"/>
      <c r="I181" s="47"/>
      <c r="J181" s="47"/>
      <c r="K181" s="47"/>
      <c r="L181" s="47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  <c r="AA181" s="50"/>
    </row>
    <row r="182" spans="1:27" ht="12.75" customHeight="1" x14ac:dyDescent="0.2">
      <c r="A182" s="47"/>
      <c r="B182" s="52"/>
      <c r="C182" s="52"/>
      <c r="D182" s="52"/>
      <c r="E182" s="52"/>
      <c r="F182" s="52"/>
      <c r="G182" s="52"/>
      <c r="H182" s="49"/>
      <c r="I182" s="47"/>
      <c r="J182" s="47"/>
      <c r="K182" s="47"/>
      <c r="L182" s="47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  <c r="AA182" s="50"/>
    </row>
    <row r="183" spans="1:27" ht="12.75" customHeight="1" x14ac:dyDescent="0.2">
      <c r="A183" s="47"/>
      <c r="B183" s="52"/>
      <c r="C183" s="52"/>
      <c r="D183" s="52"/>
      <c r="E183" s="52"/>
      <c r="F183" s="52"/>
      <c r="G183" s="52"/>
      <c r="H183" s="49"/>
      <c r="I183" s="47"/>
      <c r="J183" s="47"/>
      <c r="K183" s="47"/>
      <c r="L183" s="47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  <c r="AA183" s="50"/>
    </row>
    <row r="184" spans="1:27" ht="12.75" customHeight="1" x14ac:dyDescent="0.2">
      <c r="A184" s="47"/>
      <c r="B184" s="52"/>
      <c r="C184" s="52"/>
      <c r="D184" s="52"/>
      <c r="E184" s="52"/>
      <c r="F184" s="52"/>
      <c r="G184" s="52"/>
      <c r="H184" s="49"/>
      <c r="I184" s="47"/>
      <c r="J184" s="47"/>
      <c r="K184" s="47"/>
      <c r="L184" s="47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  <c r="AA184" s="50"/>
    </row>
    <row r="185" spans="1:27" ht="12.75" customHeight="1" x14ac:dyDescent="0.2">
      <c r="A185" s="47"/>
      <c r="B185" s="52"/>
      <c r="C185" s="52"/>
      <c r="D185" s="52"/>
      <c r="E185" s="52"/>
      <c r="F185" s="52"/>
      <c r="G185" s="52"/>
      <c r="H185" s="49"/>
      <c r="I185" s="47"/>
      <c r="J185" s="47"/>
      <c r="K185" s="47"/>
      <c r="L185" s="47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  <c r="AA185" s="50"/>
    </row>
    <row r="186" spans="1:27" ht="12.75" customHeight="1" x14ac:dyDescent="0.2">
      <c r="A186" s="47"/>
      <c r="B186" s="52"/>
      <c r="C186" s="52"/>
      <c r="D186" s="52"/>
      <c r="E186" s="52"/>
      <c r="F186" s="52"/>
      <c r="G186" s="52"/>
      <c r="H186" s="49"/>
      <c r="I186" s="47"/>
      <c r="J186" s="47"/>
      <c r="K186" s="47"/>
      <c r="L186" s="47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  <c r="AA186" s="50"/>
    </row>
    <row r="187" spans="1:27" ht="12.75" customHeight="1" x14ac:dyDescent="0.2">
      <c r="A187" s="47"/>
      <c r="B187" s="52"/>
      <c r="C187" s="52"/>
      <c r="D187" s="52"/>
      <c r="E187" s="52"/>
      <c r="F187" s="52"/>
      <c r="G187" s="52"/>
      <c r="H187" s="49"/>
      <c r="I187" s="47"/>
      <c r="J187" s="47"/>
      <c r="K187" s="47"/>
      <c r="L187" s="47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  <c r="AA187" s="50"/>
    </row>
    <row r="188" spans="1:27" ht="12.75" customHeight="1" x14ac:dyDescent="0.2">
      <c r="A188" s="47"/>
      <c r="B188" s="52"/>
      <c r="C188" s="52"/>
      <c r="D188" s="52"/>
      <c r="E188" s="52"/>
      <c r="F188" s="52"/>
      <c r="G188" s="52"/>
      <c r="H188" s="49"/>
      <c r="I188" s="47"/>
      <c r="J188" s="47"/>
      <c r="K188" s="47"/>
      <c r="L188" s="47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  <c r="AA188" s="50"/>
    </row>
    <row r="189" spans="1:27" ht="12.75" customHeight="1" x14ac:dyDescent="0.2">
      <c r="A189" s="47"/>
      <c r="B189" s="52"/>
      <c r="C189" s="52"/>
      <c r="D189" s="52"/>
      <c r="E189" s="52"/>
      <c r="F189" s="52"/>
      <c r="G189" s="52"/>
      <c r="H189" s="49"/>
      <c r="I189" s="47"/>
      <c r="J189" s="47"/>
      <c r="K189" s="47"/>
      <c r="L189" s="47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  <c r="AA189" s="50"/>
    </row>
    <row r="190" spans="1:27" ht="12.75" customHeight="1" x14ac:dyDescent="0.2">
      <c r="A190" s="47"/>
      <c r="B190" s="52"/>
      <c r="C190" s="52"/>
      <c r="D190" s="52"/>
      <c r="E190" s="52"/>
      <c r="F190" s="52"/>
      <c r="G190" s="52"/>
      <c r="H190" s="49"/>
      <c r="I190" s="47"/>
      <c r="J190" s="47"/>
      <c r="K190" s="47"/>
      <c r="L190" s="47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  <c r="AA190" s="50"/>
    </row>
    <row r="191" spans="1:27" ht="12.75" customHeight="1" x14ac:dyDescent="0.2">
      <c r="A191" s="47"/>
      <c r="B191" s="52"/>
      <c r="C191" s="52"/>
      <c r="D191" s="52"/>
      <c r="E191" s="52"/>
      <c r="F191" s="52"/>
      <c r="G191" s="52"/>
      <c r="H191" s="49"/>
      <c r="I191" s="47"/>
      <c r="J191" s="47"/>
      <c r="K191" s="47"/>
      <c r="L191" s="47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  <c r="AA191" s="50"/>
    </row>
    <row r="192" spans="1:27" ht="12.75" customHeight="1" x14ac:dyDescent="0.2">
      <c r="A192" s="47"/>
      <c r="B192" s="52"/>
      <c r="C192" s="52"/>
      <c r="D192" s="52"/>
      <c r="E192" s="52"/>
      <c r="F192" s="52"/>
      <c r="G192" s="52"/>
      <c r="H192" s="49"/>
      <c r="I192" s="47"/>
      <c r="J192" s="47"/>
      <c r="K192" s="47"/>
      <c r="L192" s="47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  <c r="AA192" s="50"/>
    </row>
    <row r="193" spans="1:27" ht="12.75" customHeight="1" x14ac:dyDescent="0.2">
      <c r="A193" s="47"/>
      <c r="B193" s="52"/>
      <c r="C193" s="52"/>
      <c r="D193" s="52"/>
      <c r="E193" s="52"/>
      <c r="F193" s="52"/>
      <c r="G193" s="52"/>
      <c r="H193" s="49"/>
      <c r="I193" s="47"/>
      <c r="J193" s="47"/>
      <c r="K193" s="47"/>
      <c r="L193" s="47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  <c r="AA193" s="50"/>
    </row>
    <row r="194" spans="1:27" ht="12.75" customHeight="1" x14ac:dyDescent="0.2">
      <c r="A194" s="47"/>
      <c r="B194" s="52"/>
      <c r="C194" s="52"/>
      <c r="D194" s="52"/>
      <c r="E194" s="52"/>
      <c r="F194" s="52"/>
      <c r="G194" s="52"/>
      <c r="H194" s="49"/>
      <c r="I194" s="47"/>
      <c r="J194" s="47"/>
      <c r="K194" s="47"/>
      <c r="L194" s="47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  <c r="AA194" s="50"/>
    </row>
    <row r="195" spans="1:27" ht="12.75" customHeight="1" x14ac:dyDescent="0.2">
      <c r="A195" s="47"/>
      <c r="B195" s="52"/>
      <c r="C195" s="52"/>
      <c r="D195" s="52"/>
      <c r="E195" s="52"/>
      <c r="F195" s="52"/>
      <c r="G195" s="52"/>
      <c r="H195" s="49"/>
      <c r="I195" s="47"/>
      <c r="J195" s="47"/>
      <c r="K195" s="47"/>
      <c r="L195" s="47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  <c r="AA195" s="50"/>
    </row>
    <row r="196" spans="1:27" ht="12.75" customHeight="1" x14ac:dyDescent="0.2">
      <c r="A196" s="47"/>
      <c r="B196" s="52"/>
      <c r="C196" s="52"/>
      <c r="D196" s="52"/>
      <c r="E196" s="52"/>
      <c r="F196" s="52"/>
      <c r="G196" s="52"/>
      <c r="H196" s="49"/>
      <c r="I196" s="47"/>
      <c r="J196" s="47"/>
      <c r="K196" s="47"/>
      <c r="L196" s="47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  <c r="AA196" s="50"/>
    </row>
    <row r="197" spans="1:27" ht="12.75" customHeight="1" x14ac:dyDescent="0.2">
      <c r="A197" s="47"/>
      <c r="B197" s="52"/>
      <c r="C197" s="52"/>
      <c r="D197" s="52"/>
      <c r="E197" s="52"/>
      <c r="F197" s="52"/>
      <c r="G197" s="52"/>
      <c r="H197" s="49"/>
      <c r="I197" s="47"/>
      <c r="J197" s="47"/>
      <c r="K197" s="47"/>
      <c r="L197" s="47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  <c r="AA197" s="50"/>
    </row>
    <row r="198" spans="1:27" ht="12.75" customHeight="1" x14ac:dyDescent="0.2">
      <c r="A198" s="47"/>
      <c r="B198" s="52"/>
      <c r="C198" s="52"/>
      <c r="D198" s="52"/>
      <c r="E198" s="52"/>
      <c r="F198" s="52"/>
      <c r="G198" s="52"/>
      <c r="H198" s="49"/>
      <c r="I198" s="47"/>
      <c r="J198" s="47"/>
      <c r="K198" s="47"/>
      <c r="L198" s="47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  <c r="AA198" s="50"/>
    </row>
    <row r="199" spans="1:27" ht="12.75" customHeight="1" x14ac:dyDescent="0.2">
      <c r="A199" s="47"/>
      <c r="B199" s="52"/>
      <c r="C199" s="52"/>
      <c r="D199" s="52"/>
      <c r="E199" s="52"/>
      <c r="F199" s="52"/>
      <c r="G199" s="52"/>
      <c r="H199" s="49"/>
      <c r="I199" s="47"/>
      <c r="J199" s="47"/>
      <c r="K199" s="47"/>
      <c r="L199" s="47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  <c r="AA199" s="50"/>
    </row>
    <row r="200" spans="1:27" ht="12.75" customHeight="1" x14ac:dyDescent="0.2">
      <c r="A200" s="47"/>
      <c r="B200" s="52"/>
      <c r="C200" s="52"/>
      <c r="D200" s="52"/>
      <c r="E200" s="52"/>
      <c r="F200" s="52"/>
      <c r="G200" s="52"/>
      <c r="H200" s="49"/>
      <c r="I200" s="47"/>
      <c r="J200" s="47"/>
      <c r="K200" s="47"/>
      <c r="L200" s="47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  <c r="AA200" s="50"/>
    </row>
    <row r="201" spans="1:27" ht="12.75" customHeight="1" x14ac:dyDescent="0.2">
      <c r="A201" s="47"/>
      <c r="B201" s="52"/>
      <c r="C201" s="52"/>
      <c r="D201" s="52"/>
      <c r="E201" s="52"/>
      <c r="F201" s="52"/>
      <c r="G201" s="52"/>
      <c r="H201" s="49"/>
      <c r="I201" s="47"/>
      <c r="J201" s="47"/>
      <c r="K201" s="47"/>
      <c r="L201" s="47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  <c r="AA201" s="50"/>
    </row>
    <row r="202" spans="1:27" ht="12.75" customHeight="1" x14ac:dyDescent="0.2">
      <c r="A202" s="47"/>
      <c r="B202" s="52"/>
      <c r="C202" s="52"/>
      <c r="D202" s="52"/>
      <c r="E202" s="52"/>
      <c r="F202" s="52"/>
      <c r="G202" s="52"/>
      <c r="H202" s="49"/>
      <c r="I202" s="47"/>
      <c r="J202" s="47"/>
      <c r="K202" s="47"/>
      <c r="L202" s="47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  <c r="AA202" s="50"/>
    </row>
    <row r="203" spans="1:27" ht="12.75" customHeight="1" x14ac:dyDescent="0.2">
      <c r="A203" s="47"/>
      <c r="B203" s="52"/>
      <c r="C203" s="52"/>
      <c r="D203" s="52"/>
      <c r="E203" s="52"/>
      <c r="F203" s="52"/>
      <c r="G203" s="52"/>
      <c r="H203" s="49"/>
      <c r="I203" s="47"/>
      <c r="J203" s="47"/>
      <c r="K203" s="47"/>
      <c r="L203" s="47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  <c r="AA203" s="50"/>
    </row>
    <row r="204" spans="1:27" ht="12.75" customHeight="1" x14ac:dyDescent="0.2">
      <c r="A204" s="47"/>
      <c r="B204" s="52"/>
      <c r="C204" s="52"/>
      <c r="D204" s="52"/>
      <c r="E204" s="52"/>
      <c r="F204" s="52"/>
      <c r="G204" s="52"/>
      <c r="H204" s="49"/>
      <c r="I204" s="47"/>
      <c r="J204" s="47"/>
      <c r="K204" s="47"/>
      <c r="L204" s="47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  <c r="AA204" s="50"/>
    </row>
    <row r="205" spans="1:27" ht="12.75" customHeight="1" x14ac:dyDescent="0.2">
      <c r="A205" s="47"/>
      <c r="B205" s="52"/>
      <c r="C205" s="52"/>
      <c r="D205" s="52"/>
      <c r="E205" s="52"/>
      <c r="F205" s="52"/>
      <c r="G205" s="52"/>
      <c r="H205" s="49"/>
      <c r="I205" s="47"/>
      <c r="J205" s="47"/>
      <c r="K205" s="47"/>
      <c r="L205" s="47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  <c r="AA205" s="50"/>
    </row>
    <row r="206" spans="1:27" ht="12.75" customHeight="1" x14ac:dyDescent="0.2">
      <c r="A206" s="47"/>
      <c r="B206" s="52"/>
      <c r="C206" s="52"/>
      <c r="D206" s="52"/>
      <c r="E206" s="52"/>
      <c r="F206" s="52"/>
      <c r="G206" s="52"/>
      <c r="H206" s="49"/>
      <c r="I206" s="47"/>
      <c r="J206" s="47"/>
      <c r="K206" s="47"/>
      <c r="L206" s="47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  <c r="AA206" s="50"/>
    </row>
    <row r="207" spans="1:27" ht="12.75" customHeight="1" x14ac:dyDescent="0.2">
      <c r="A207" s="47"/>
      <c r="B207" s="52"/>
      <c r="C207" s="52"/>
      <c r="D207" s="52"/>
      <c r="E207" s="52"/>
      <c r="F207" s="52"/>
      <c r="G207" s="52"/>
      <c r="H207" s="49"/>
      <c r="I207" s="47"/>
      <c r="J207" s="47"/>
      <c r="K207" s="47"/>
      <c r="L207" s="47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  <c r="AA207" s="50"/>
    </row>
    <row r="208" spans="1:27" ht="12.75" customHeight="1" x14ac:dyDescent="0.2">
      <c r="A208" s="47"/>
      <c r="B208" s="52"/>
      <c r="C208" s="52"/>
      <c r="D208" s="52"/>
      <c r="E208" s="52"/>
      <c r="F208" s="52"/>
      <c r="G208" s="52"/>
      <c r="H208" s="49"/>
      <c r="I208" s="47"/>
      <c r="J208" s="47"/>
      <c r="K208" s="47"/>
      <c r="L208" s="47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  <c r="AA208" s="50"/>
    </row>
    <row r="209" spans="1:27" ht="12.75" customHeight="1" x14ac:dyDescent="0.2">
      <c r="A209" s="47"/>
      <c r="B209" s="52"/>
      <c r="C209" s="52"/>
      <c r="D209" s="52"/>
      <c r="E209" s="52"/>
      <c r="F209" s="52"/>
      <c r="G209" s="52"/>
      <c r="H209" s="49"/>
      <c r="I209" s="47"/>
      <c r="J209" s="47"/>
      <c r="K209" s="47"/>
      <c r="L209" s="47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  <c r="AA209" s="50"/>
    </row>
    <row r="210" spans="1:27" ht="12.75" customHeight="1" x14ac:dyDescent="0.2">
      <c r="A210" s="47"/>
      <c r="B210" s="52"/>
      <c r="C210" s="52"/>
      <c r="D210" s="52"/>
      <c r="E210" s="52"/>
      <c r="F210" s="52"/>
      <c r="G210" s="52"/>
      <c r="H210" s="49"/>
      <c r="I210" s="47"/>
      <c r="J210" s="47"/>
      <c r="K210" s="47"/>
      <c r="L210" s="47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  <c r="AA210" s="50"/>
    </row>
    <row r="211" spans="1:27" ht="12.75" customHeight="1" x14ac:dyDescent="0.2">
      <c r="A211" s="47"/>
      <c r="B211" s="52"/>
      <c r="C211" s="52"/>
      <c r="D211" s="52"/>
      <c r="E211" s="52"/>
      <c r="F211" s="52"/>
      <c r="G211" s="52"/>
      <c r="H211" s="49"/>
      <c r="I211" s="47"/>
      <c r="J211" s="47"/>
      <c r="K211" s="47"/>
      <c r="L211" s="47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  <c r="AA211" s="50"/>
    </row>
    <row r="212" spans="1:27" ht="12.75" customHeight="1" x14ac:dyDescent="0.2">
      <c r="A212" s="47"/>
      <c r="B212" s="52"/>
      <c r="C212" s="52"/>
      <c r="D212" s="52"/>
      <c r="E212" s="52"/>
      <c r="F212" s="52"/>
      <c r="G212" s="52"/>
      <c r="H212" s="49"/>
      <c r="I212" s="47"/>
      <c r="J212" s="47"/>
      <c r="K212" s="47"/>
      <c r="L212" s="47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  <c r="AA212" s="50"/>
    </row>
    <row r="213" spans="1:27" ht="12.75" customHeight="1" x14ac:dyDescent="0.2">
      <c r="A213" s="47"/>
      <c r="B213" s="52"/>
      <c r="C213" s="52"/>
      <c r="D213" s="52"/>
      <c r="E213" s="52"/>
      <c r="F213" s="52"/>
      <c r="G213" s="52"/>
      <c r="H213" s="49"/>
      <c r="I213" s="47"/>
      <c r="J213" s="47"/>
      <c r="K213" s="47"/>
      <c r="L213" s="47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  <c r="AA213" s="50"/>
    </row>
    <row r="214" spans="1:27" ht="12.75" customHeight="1" x14ac:dyDescent="0.2">
      <c r="A214" s="47"/>
      <c r="B214" s="52"/>
      <c r="C214" s="52"/>
      <c r="D214" s="52"/>
      <c r="E214" s="52"/>
      <c r="F214" s="52"/>
      <c r="G214" s="52"/>
      <c r="H214" s="49"/>
      <c r="I214" s="47"/>
      <c r="J214" s="47"/>
      <c r="K214" s="47"/>
      <c r="L214" s="47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  <c r="AA214" s="50"/>
    </row>
    <row r="215" spans="1:27" ht="12.75" customHeight="1" x14ac:dyDescent="0.2">
      <c r="A215" s="47"/>
      <c r="B215" s="52"/>
      <c r="C215" s="52"/>
      <c r="D215" s="52"/>
      <c r="E215" s="52"/>
      <c r="F215" s="52"/>
      <c r="G215" s="52"/>
      <c r="H215" s="49"/>
      <c r="I215" s="47"/>
      <c r="J215" s="47"/>
      <c r="K215" s="47"/>
      <c r="L215" s="47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  <c r="AA215" s="50"/>
    </row>
    <row r="216" spans="1:27" ht="12.75" customHeight="1" x14ac:dyDescent="0.2">
      <c r="A216" s="47"/>
      <c r="B216" s="52"/>
      <c r="C216" s="52"/>
      <c r="D216" s="52"/>
      <c r="E216" s="52"/>
      <c r="F216" s="52"/>
      <c r="G216" s="52"/>
      <c r="H216" s="49"/>
      <c r="I216" s="47"/>
      <c r="J216" s="47"/>
      <c r="K216" s="47"/>
      <c r="L216" s="47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  <c r="AA216" s="50"/>
    </row>
    <row r="217" spans="1:27" ht="12.75" customHeight="1" x14ac:dyDescent="0.2">
      <c r="A217" s="47"/>
      <c r="B217" s="52"/>
      <c r="C217" s="52"/>
      <c r="D217" s="52"/>
      <c r="E217" s="52"/>
      <c r="F217" s="52"/>
      <c r="G217" s="52"/>
      <c r="H217" s="49"/>
      <c r="I217" s="47"/>
      <c r="J217" s="47"/>
      <c r="K217" s="47"/>
      <c r="L217" s="47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  <c r="AA217" s="50"/>
    </row>
    <row r="218" spans="1:27" ht="12.75" customHeight="1" x14ac:dyDescent="0.2">
      <c r="A218" s="47"/>
      <c r="B218" s="52"/>
      <c r="C218" s="52"/>
      <c r="D218" s="52"/>
      <c r="E218" s="52"/>
      <c r="F218" s="52"/>
      <c r="G218" s="52"/>
      <c r="H218" s="49"/>
      <c r="I218" s="47"/>
      <c r="J218" s="47"/>
      <c r="K218" s="47"/>
      <c r="L218" s="47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  <c r="AA218" s="50"/>
    </row>
    <row r="219" spans="1:27" ht="12.75" customHeight="1" x14ac:dyDescent="0.2">
      <c r="A219" s="47"/>
      <c r="B219" s="52"/>
      <c r="C219" s="52"/>
      <c r="D219" s="52"/>
      <c r="E219" s="52"/>
      <c r="F219" s="52"/>
      <c r="G219" s="52"/>
      <c r="H219" s="49"/>
      <c r="I219" s="47"/>
      <c r="J219" s="47"/>
      <c r="K219" s="47"/>
      <c r="L219" s="47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  <c r="AA219" s="50"/>
    </row>
    <row r="220" spans="1:27" ht="12.75" customHeight="1" x14ac:dyDescent="0.2">
      <c r="A220" s="47"/>
      <c r="B220" s="52"/>
      <c r="C220" s="52"/>
      <c r="D220" s="52"/>
      <c r="E220" s="52"/>
      <c r="F220" s="52"/>
      <c r="G220" s="52"/>
      <c r="H220" s="49"/>
      <c r="I220" s="47"/>
      <c r="J220" s="47"/>
      <c r="K220" s="47"/>
      <c r="L220" s="47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  <c r="AA220" s="50"/>
    </row>
    <row r="221" spans="1:27" ht="12.75" customHeight="1" x14ac:dyDescent="0.2">
      <c r="A221" s="47"/>
      <c r="B221" s="52"/>
      <c r="C221" s="52"/>
      <c r="D221" s="52"/>
      <c r="E221" s="52"/>
      <c r="F221" s="52"/>
      <c r="G221" s="52"/>
      <c r="H221" s="49"/>
      <c r="I221" s="47"/>
      <c r="J221" s="47"/>
      <c r="K221" s="47"/>
      <c r="L221" s="47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  <c r="AA221" s="50"/>
    </row>
    <row r="222" spans="1:27" ht="12.75" customHeight="1" x14ac:dyDescent="0.2">
      <c r="A222" s="47"/>
      <c r="B222" s="52"/>
      <c r="C222" s="52"/>
      <c r="D222" s="52"/>
      <c r="E222" s="52"/>
      <c r="F222" s="52"/>
      <c r="G222" s="52"/>
      <c r="H222" s="49"/>
      <c r="I222" s="47"/>
      <c r="J222" s="47"/>
      <c r="K222" s="47"/>
      <c r="L222" s="47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  <c r="AA222" s="50"/>
    </row>
    <row r="223" spans="1:27" ht="12.75" customHeight="1" x14ac:dyDescent="0.2">
      <c r="A223" s="47"/>
      <c r="B223" s="52"/>
      <c r="C223" s="52"/>
      <c r="D223" s="52"/>
      <c r="E223" s="52"/>
      <c r="F223" s="52"/>
      <c r="G223" s="52"/>
      <c r="H223" s="49"/>
      <c r="I223" s="47"/>
      <c r="J223" s="47"/>
      <c r="K223" s="47"/>
      <c r="L223" s="47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  <c r="AA223" s="50"/>
    </row>
    <row r="224" spans="1:27" ht="12.75" customHeight="1" x14ac:dyDescent="0.2">
      <c r="A224" s="47"/>
      <c r="B224" s="52"/>
      <c r="C224" s="52"/>
      <c r="D224" s="52"/>
      <c r="E224" s="52"/>
      <c r="F224" s="52"/>
      <c r="G224" s="52"/>
      <c r="H224" s="49"/>
      <c r="I224" s="47"/>
      <c r="J224" s="47"/>
      <c r="K224" s="47"/>
      <c r="L224" s="47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  <c r="AA224" s="50"/>
    </row>
    <row r="225" spans="1:27" ht="12.75" customHeight="1" x14ac:dyDescent="0.2">
      <c r="A225" s="47"/>
      <c r="B225" s="52"/>
      <c r="C225" s="52"/>
      <c r="D225" s="52"/>
      <c r="E225" s="52"/>
      <c r="F225" s="52"/>
      <c r="G225" s="52"/>
      <c r="H225" s="49"/>
      <c r="I225" s="47"/>
      <c r="J225" s="47"/>
      <c r="K225" s="47"/>
      <c r="L225" s="47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  <c r="AA225" s="50"/>
    </row>
    <row r="226" spans="1:27" ht="12.75" customHeight="1" x14ac:dyDescent="0.2">
      <c r="A226" s="47"/>
      <c r="B226" s="52"/>
      <c r="C226" s="52"/>
      <c r="D226" s="52"/>
      <c r="E226" s="52"/>
      <c r="F226" s="52"/>
      <c r="G226" s="52"/>
      <c r="H226" s="49"/>
      <c r="I226" s="47"/>
      <c r="J226" s="47"/>
      <c r="K226" s="47"/>
      <c r="L226" s="47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  <c r="AA226" s="50"/>
    </row>
    <row r="227" spans="1:27" ht="12.75" customHeight="1" x14ac:dyDescent="0.2">
      <c r="A227" s="47"/>
      <c r="B227" s="52"/>
      <c r="C227" s="52"/>
      <c r="D227" s="52"/>
      <c r="E227" s="52"/>
      <c r="F227" s="52"/>
      <c r="G227" s="52"/>
      <c r="H227" s="49"/>
      <c r="I227" s="47"/>
      <c r="J227" s="47"/>
      <c r="K227" s="47"/>
      <c r="L227" s="47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  <c r="AA227" s="50"/>
    </row>
    <row r="228" spans="1:27" ht="12.75" customHeight="1" x14ac:dyDescent="0.2">
      <c r="A228" s="47"/>
      <c r="B228" s="52"/>
      <c r="C228" s="52"/>
      <c r="D228" s="52"/>
      <c r="E228" s="52"/>
      <c r="F228" s="52"/>
      <c r="G228" s="52"/>
      <c r="H228" s="49"/>
      <c r="I228" s="47"/>
      <c r="J228" s="47"/>
      <c r="K228" s="47"/>
      <c r="L228" s="47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  <c r="AA228" s="50"/>
    </row>
    <row r="229" spans="1:27" ht="12.75" customHeight="1" x14ac:dyDescent="0.2">
      <c r="A229" s="47"/>
      <c r="B229" s="52"/>
      <c r="C229" s="52"/>
      <c r="D229" s="52"/>
      <c r="E229" s="52"/>
      <c r="F229" s="52"/>
      <c r="G229" s="52"/>
      <c r="H229" s="49"/>
      <c r="I229" s="47"/>
      <c r="J229" s="47"/>
      <c r="K229" s="47"/>
      <c r="L229" s="47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  <c r="AA229" s="50"/>
    </row>
    <row r="230" spans="1:27" ht="12.75" customHeight="1" x14ac:dyDescent="0.2">
      <c r="A230" s="47"/>
      <c r="B230" s="52"/>
      <c r="C230" s="52"/>
      <c r="D230" s="52"/>
      <c r="E230" s="52"/>
      <c r="F230" s="52"/>
      <c r="G230" s="52"/>
      <c r="H230" s="49"/>
      <c r="I230" s="47"/>
      <c r="J230" s="47"/>
      <c r="K230" s="47"/>
      <c r="L230" s="47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  <c r="AA230" s="50"/>
    </row>
    <row r="231" spans="1:27" ht="12.75" customHeight="1" x14ac:dyDescent="0.2">
      <c r="A231" s="47"/>
      <c r="B231" s="52"/>
      <c r="C231" s="52"/>
      <c r="D231" s="52"/>
      <c r="E231" s="52"/>
      <c r="F231" s="52"/>
      <c r="G231" s="52"/>
      <c r="H231" s="49"/>
      <c r="I231" s="47"/>
      <c r="J231" s="47"/>
      <c r="K231" s="47"/>
      <c r="L231" s="47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  <c r="AA231" s="50"/>
    </row>
    <row r="232" spans="1:27" ht="12.75" customHeight="1" x14ac:dyDescent="0.2">
      <c r="A232" s="47"/>
      <c r="B232" s="52"/>
      <c r="C232" s="52"/>
      <c r="D232" s="52"/>
      <c r="E232" s="52"/>
      <c r="F232" s="52"/>
      <c r="G232" s="52"/>
      <c r="H232" s="49"/>
      <c r="I232" s="47"/>
      <c r="J232" s="47"/>
      <c r="K232" s="47"/>
      <c r="L232" s="47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  <c r="AA232" s="50"/>
    </row>
    <row r="233" spans="1:27" ht="12.75" customHeight="1" x14ac:dyDescent="0.2">
      <c r="A233" s="47"/>
      <c r="B233" s="52"/>
      <c r="C233" s="52"/>
      <c r="D233" s="52"/>
      <c r="E233" s="52"/>
      <c r="F233" s="52"/>
      <c r="G233" s="52"/>
      <c r="H233" s="49"/>
      <c r="I233" s="47"/>
      <c r="J233" s="47"/>
      <c r="K233" s="47"/>
      <c r="L233" s="47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  <c r="AA233" s="50"/>
    </row>
    <row r="234" spans="1:27" ht="12.75" customHeight="1" x14ac:dyDescent="0.2">
      <c r="A234" s="47"/>
      <c r="B234" s="52"/>
      <c r="C234" s="52"/>
      <c r="D234" s="52"/>
      <c r="E234" s="52"/>
      <c r="F234" s="52"/>
      <c r="G234" s="52"/>
      <c r="H234" s="49"/>
      <c r="I234" s="47"/>
      <c r="J234" s="47"/>
      <c r="K234" s="47"/>
      <c r="L234" s="47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  <c r="AA234" s="50"/>
    </row>
    <row r="235" spans="1:27" ht="12.75" customHeight="1" x14ac:dyDescent="0.2">
      <c r="A235" s="47"/>
      <c r="B235" s="52"/>
      <c r="C235" s="52"/>
      <c r="D235" s="52"/>
      <c r="E235" s="52"/>
      <c r="F235" s="52"/>
      <c r="G235" s="52"/>
      <c r="H235" s="49"/>
      <c r="I235" s="47"/>
      <c r="J235" s="47"/>
      <c r="K235" s="47"/>
      <c r="L235" s="47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  <c r="AA235" s="50"/>
    </row>
    <row r="236" spans="1:27" ht="12.75" customHeight="1" x14ac:dyDescent="0.2">
      <c r="A236" s="47"/>
      <c r="B236" s="52"/>
      <c r="C236" s="52"/>
      <c r="D236" s="52"/>
      <c r="E236" s="52"/>
      <c r="F236" s="52"/>
      <c r="G236" s="52"/>
      <c r="H236" s="49"/>
      <c r="I236" s="47"/>
      <c r="J236" s="47"/>
      <c r="K236" s="47"/>
      <c r="L236" s="47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  <c r="AA236" s="50"/>
    </row>
    <row r="237" spans="1:27" ht="12.75" customHeight="1" x14ac:dyDescent="0.2">
      <c r="A237" s="47"/>
      <c r="B237" s="52"/>
      <c r="C237" s="52"/>
      <c r="D237" s="52"/>
      <c r="E237" s="52"/>
      <c r="F237" s="52"/>
      <c r="G237" s="52"/>
      <c r="H237" s="49"/>
      <c r="I237" s="47"/>
      <c r="J237" s="47"/>
      <c r="K237" s="47"/>
      <c r="L237" s="47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  <c r="AA237" s="50"/>
    </row>
    <row r="238" spans="1:27" ht="12.75" customHeight="1" x14ac:dyDescent="0.2">
      <c r="A238" s="47"/>
      <c r="B238" s="52"/>
      <c r="C238" s="52"/>
      <c r="D238" s="52"/>
      <c r="E238" s="52"/>
      <c r="F238" s="52"/>
      <c r="G238" s="52"/>
      <c r="H238" s="49"/>
      <c r="I238" s="47"/>
      <c r="J238" s="47"/>
      <c r="K238" s="47"/>
      <c r="L238" s="47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  <c r="AA238" s="50"/>
    </row>
    <row r="239" spans="1:27" ht="12.75" customHeight="1" x14ac:dyDescent="0.2">
      <c r="A239" s="47"/>
      <c r="B239" s="52"/>
      <c r="C239" s="52"/>
      <c r="D239" s="52"/>
      <c r="E239" s="52"/>
      <c r="F239" s="52"/>
      <c r="G239" s="52"/>
      <c r="H239" s="49"/>
      <c r="I239" s="47"/>
      <c r="J239" s="47"/>
      <c r="K239" s="47"/>
      <c r="L239" s="47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  <c r="AA239" s="50"/>
    </row>
    <row r="240" spans="1:27" ht="12.75" customHeight="1" x14ac:dyDescent="0.2">
      <c r="A240" s="47"/>
      <c r="B240" s="52"/>
      <c r="C240" s="52"/>
      <c r="D240" s="52"/>
      <c r="E240" s="52"/>
      <c r="F240" s="52"/>
      <c r="G240" s="52"/>
      <c r="H240" s="49"/>
      <c r="I240" s="47"/>
      <c r="J240" s="47"/>
      <c r="K240" s="47"/>
      <c r="L240" s="47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  <c r="AA240" s="50"/>
    </row>
    <row r="241" spans="1:27" ht="12.75" customHeight="1" x14ac:dyDescent="0.2">
      <c r="A241" s="47"/>
      <c r="B241" s="52"/>
      <c r="C241" s="52"/>
      <c r="D241" s="52"/>
      <c r="E241" s="52"/>
      <c r="F241" s="52"/>
      <c r="G241" s="52"/>
      <c r="H241" s="49"/>
      <c r="I241" s="47"/>
      <c r="J241" s="47"/>
      <c r="K241" s="47"/>
      <c r="L241" s="47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  <c r="AA241" s="50"/>
    </row>
    <row r="242" spans="1:27" ht="12.75" customHeight="1" x14ac:dyDescent="0.2">
      <c r="A242" s="47"/>
      <c r="B242" s="52"/>
      <c r="C242" s="52"/>
      <c r="D242" s="52"/>
      <c r="E242" s="52"/>
      <c r="F242" s="52"/>
      <c r="G242" s="52"/>
      <c r="H242" s="49"/>
      <c r="I242" s="47"/>
      <c r="J242" s="47"/>
      <c r="K242" s="47"/>
      <c r="L242" s="47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  <c r="AA242" s="50"/>
    </row>
    <row r="243" spans="1:27" ht="12.75" customHeight="1" x14ac:dyDescent="0.2">
      <c r="A243" s="47"/>
      <c r="B243" s="52"/>
      <c r="C243" s="52"/>
      <c r="D243" s="52"/>
      <c r="E243" s="52"/>
      <c r="F243" s="52"/>
      <c r="G243" s="52"/>
      <c r="H243" s="49"/>
      <c r="I243" s="47"/>
      <c r="J243" s="47"/>
      <c r="K243" s="47"/>
      <c r="L243" s="47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  <c r="AA243" s="50"/>
    </row>
    <row r="244" spans="1:27" ht="12.75" customHeight="1" x14ac:dyDescent="0.2">
      <c r="A244" s="47"/>
      <c r="B244" s="52"/>
      <c r="C244" s="52"/>
      <c r="D244" s="52"/>
      <c r="E244" s="52"/>
      <c r="F244" s="52"/>
      <c r="G244" s="52"/>
      <c r="H244" s="49"/>
      <c r="I244" s="47"/>
      <c r="J244" s="47"/>
      <c r="K244" s="47"/>
      <c r="L244" s="47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  <c r="AA244" s="50"/>
    </row>
    <row r="245" spans="1:27" ht="12.75" customHeight="1" x14ac:dyDescent="0.2">
      <c r="A245" s="47"/>
      <c r="B245" s="52"/>
      <c r="C245" s="52"/>
      <c r="D245" s="52"/>
      <c r="E245" s="52"/>
      <c r="F245" s="52"/>
      <c r="G245" s="52"/>
      <c r="H245" s="49"/>
      <c r="I245" s="47"/>
      <c r="J245" s="47"/>
      <c r="K245" s="47"/>
      <c r="L245" s="47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  <c r="AA245" s="50"/>
    </row>
    <row r="246" spans="1:27" ht="12.75" customHeight="1" x14ac:dyDescent="0.2">
      <c r="A246" s="47"/>
      <c r="B246" s="52"/>
      <c r="C246" s="52"/>
      <c r="D246" s="52"/>
      <c r="E246" s="52"/>
      <c r="F246" s="52"/>
      <c r="G246" s="52"/>
      <c r="H246" s="49"/>
      <c r="I246" s="47"/>
      <c r="J246" s="47"/>
      <c r="K246" s="47"/>
      <c r="L246" s="47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  <c r="AA246" s="50"/>
    </row>
    <row r="247" spans="1:27" ht="12.75" customHeight="1" x14ac:dyDescent="0.2">
      <c r="A247" s="47"/>
      <c r="B247" s="52"/>
      <c r="C247" s="52"/>
      <c r="D247" s="52"/>
      <c r="E247" s="52"/>
      <c r="F247" s="52"/>
      <c r="G247" s="52"/>
      <c r="H247" s="49"/>
      <c r="I247" s="47"/>
      <c r="J247" s="47"/>
      <c r="K247" s="47"/>
      <c r="L247" s="47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  <c r="AA247" s="50"/>
    </row>
    <row r="248" spans="1:27" ht="12.75" customHeight="1" x14ac:dyDescent="0.2">
      <c r="A248" s="47"/>
      <c r="B248" s="52"/>
      <c r="C248" s="52"/>
      <c r="D248" s="52"/>
      <c r="E248" s="52"/>
      <c r="F248" s="52"/>
      <c r="G248" s="52"/>
      <c r="H248" s="49"/>
      <c r="I248" s="47"/>
      <c r="J248" s="47"/>
      <c r="K248" s="47"/>
      <c r="L248" s="47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  <c r="AA248" s="50"/>
    </row>
    <row r="249" spans="1:27" ht="12.75" customHeight="1" x14ac:dyDescent="0.2">
      <c r="A249" s="47"/>
      <c r="B249" s="52"/>
      <c r="C249" s="52"/>
      <c r="D249" s="52"/>
      <c r="E249" s="52"/>
      <c r="F249" s="52"/>
      <c r="G249" s="52"/>
      <c r="H249" s="49"/>
      <c r="I249" s="47"/>
      <c r="J249" s="47"/>
      <c r="K249" s="47"/>
      <c r="L249" s="47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  <c r="AA249" s="50"/>
    </row>
    <row r="250" spans="1:27" ht="12.75" customHeight="1" x14ac:dyDescent="0.2">
      <c r="A250" s="47"/>
      <c r="B250" s="52"/>
      <c r="C250" s="52"/>
      <c r="D250" s="52"/>
      <c r="E250" s="52"/>
      <c r="F250" s="52"/>
      <c r="G250" s="52"/>
      <c r="H250" s="49"/>
      <c r="I250" s="47"/>
      <c r="J250" s="47"/>
      <c r="K250" s="47"/>
      <c r="L250" s="47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  <c r="AA250" s="50"/>
    </row>
    <row r="251" spans="1:27" ht="12.75" customHeight="1" x14ac:dyDescent="0.2">
      <c r="A251" s="47"/>
      <c r="B251" s="52"/>
      <c r="C251" s="52"/>
      <c r="D251" s="52"/>
      <c r="E251" s="52"/>
      <c r="F251" s="52"/>
      <c r="G251" s="52"/>
      <c r="H251" s="49"/>
      <c r="I251" s="47"/>
      <c r="J251" s="47"/>
      <c r="K251" s="47"/>
      <c r="L251" s="47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  <c r="AA251" s="50"/>
    </row>
    <row r="252" spans="1:27" ht="12.75" customHeight="1" x14ac:dyDescent="0.2">
      <c r="A252" s="47"/>
      <c r="B252" s="52"/>
      <c r="C252" s="52"/>
      <c r="D252" s="52"/>
      <c r="E252" s="52"/>
      <c r="F252" s="52"/>
      <c r="G252" s="52"/>
      <c r="H252" s="49"/>
      <c r="I252" s="47"/>
      <c r="J252" s="47"/>
      <c r="K252" s="47"/>
      <c r="L252" s="47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  <c r="AA252" s="50"/>
    </row>
    <row r="253" spans="1:27" ht="12.75" customHeight="1" x14ac:dyDescent="0.2">
      <c r="A253" s="47"/>
      <c r="B253" s="52"/>
      <c r="C253" s="52"/>
      <c r="D253" s="52"/>
      <c r="E253" s="52"/>
      <c r="F253" s="52"/>
      <c r="G253" s="52"/>
      <c r="H253" s="49"/>
      <c r="I253" s="47"/>
      <c r="J253" s="47"/>
      <c r="K253" s="47"/>
      <c r="L253" s="47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  <c r="AA253" s="50"/>
    </row>
    <row r="254" spans="1:27" ht="12.75" customHeight="1" x14ac:dyDescent="0.2">
      <c r="A254" s="47"/>
      <c r="B254" s="52"/>
      <c r="C254" s="52"/>
      <c r="D254" s="52"/>
      <c r="E254" s="52"/>
      <c r="F254" s="52"/>
      <c r="G254" s="52"/>
      <c r="H254" s="49"/>
      <c r="I254" s="47"/>
      <c r="J254" s="47"/>
      <c r="K254" s="47"/>
      <c r="L254" s="47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  <c r="AA254" s="50"/>
    </row>
    <row r="255" spans="1:27" ht="12.75" customHeight="1" x14ac:dyDescent="0.2">
      <c r="A255" s="47"/>
      <c r="B255" s="52"/>
      <c r="C255" s="52"/>
      <c r="D255" s="52"/>
      <c r="E255" s="52"/>
      <c r="F255" s="52"/>
      <c r="G255" s="52"/>
      <c r="H255" s="49"/>
      <c r="I255" s="47"/>
      <c r="J255" s="47"/>
      <c r="K255" s="47"/>
      <c r="L255" s="47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  <c r="Z255" s="50"/>
      <c r="AA255" s="50"/>
    </row>
    <row r="256" spans="1:27" ht="12.75" customHeight="1" x14ac:dyDescent="0.2">
      <c r="A256" s="47"/>
      <c r="B256" s="52"/>
      <c r="C256" s="52"/>
      <c r="D256" s="52"/>
      <c r="E256" s="52"/>
      <c r="F256" s="52"/>
      <c r="G256" s="52"/>
      <c r="H256" s="49"/>
      <c r="I256" s="47"/>
      <c r="J256" s="47"/>
      <c r="K256" s="47"/>
      <c r="L256" s="47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0"/>
      <c r="AA256" s="50"/>
    </row>
    <row r="257" spans="1:27" ht="12.75" customHeight="1" x14ac:dyDescent="0.2">
      <c r="A257" s="47"/>
      <c r="B257" s="52"/>
      <c r="C257" s="52"/>
      <c r="D257" s="52"/>
      <c r="E257" s="52"/>
      <c r="F257" s="52"/>
      <c r="G257" s="52"/>
      <c r="H257" s="49"/>
      <c r="I257" s="47"/>
      <c r="J257" s="47"/>
      <c r="K257" s="47"/>
      <c r="L257" s="47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/>
      <c r="AA257" s="50"/>
    </row>
    <row r="258" spans="1:27" ht="12.75" customHeight="1" x14ac:dyDescent="0.2">
      <c r="A258" s="47"/>
      <c r="B258" s="52"/>
      <c r="C258" s="52"/>
      <c r="D258" s="52"/>
      <c r="E258" s="52"/>
      <c r="F258" s="52"/>
      <c r="G258" s="52"/>
      <c r="H258" s="49"/>
      <c r="I258" s="47"/>
      <c r="J258" s="47"/>
      <c r="K258" s="47"/>
      <c r="L258" s="47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  <c r="AA258" s="50"/>
    </row>
    <row r="259" spans="1:27" ht="12.75" customHeight="1" x14ac:dyDescent="0.2">
      <c r="A259" s="47"/>
      <c r="B259" s="52"/>
      <c r="C259" s="52"/>
      <c r="D259" s="52"/>
      <c r="E259" s="52"/>
      <c r="F259" s="52"/>
      <c r="G259" s="52"/>
      <c r="H259" s="49"/>
      <c r="I259" s="47"/>
      <c r="J259" s="47"/>
      <c r="K259" s="47"/>
      <c r="L259" s="47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  <c r="AA259" s="50"/>
    </row>
    <row r="260" spans="1:27" ht="12.75" customHeight="1" x14ac:dyDescent="0.2">
      <c r="A260" s="47"/>
      <c r="B260" s="52"/>
      <c r="C260" s="52"/>
      <c r="D260" s="52"/>
      <c r="E260" s="52"/>
      <c r="F260" s="52"/>
      <c r="G260" s="52"/>
      <c r="H260" s="49"/>
      <c r="I260" s="47"/>
      <c r="J260" s="47"/>
      <c r="K260" s="47"/>
      <c r="L260" s="47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  <c r="AA260" s="50"/>
    </row>
    <row r="261" spans="1:27" ht="12.75" customHeight="1" x14ac:dyDescent="0.2">
      <c r="A261" s="47"/>
      <c r="B261" s="52"/>
      <c r="C261" s="52"/>
      <c r="D261" s="52"/>
      <c r="E261" s="52"/>
      <c r="F261" s="52"/>
      <c r="G261" s="52"/>
      <c r="H261" s="49"/>
      <c r="I261" s="47"/>
      <c r="J261" s="47"/>
      <c r="K261" s="47"/>
      <c r="L261" s="47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  <c r="Z261" s="50"/>
      <c r="AA261" s="50"/>
    </row>
    <row r="262" spans="1:27" ht="12.75" customHeight="1" x14ac:dyDescent="0.2">
      <c r="A262" s="47"/>
      <c r="B262" s="52"/>
      <c r="C262" s="52"/>
      <c r="D262" s="52"/>
      <c r="E262" s="52"/>
      <c r="F262" s="52"/>
      <c r="G262" s="52"/>
      <c r="H262" s="49"/>
      <c r="I262" s="47"/>
      <c r="J262" s="47"/>
      <c r="K262" s="47"/>
      <c r="L262" s="47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  <c r="AA262" s="50"/>
    </row>
    <row r="263" spans="1:27" ht="12.75" customHeight="1" x14ac:dyDescent="0.2">
      <c r="A263" s="47"/>
      <c r="B263" s="52"/>
      <c r="C263" s="52"/>
      <c r="D263" s="52"/>
      <c r="E263" s="52"/>
      <c r="F263" s="52"/>
      <c r="G263" s="52"/>
      <c r="H263" s="49"/>
      <c r="I263" s="47"/>
      <c r="J263" s="47"/>
      <c r="K263" s="47"/>
      <c r="L263" s="47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  <c r="AA263" s="50"/>
    </row>
    <row r="264" spans="1:27" ht="12.75" customHeight="1" x14ac:dyDescent="0.2">
      <c r="A264" s="47"/>
      <c r="B264" s="52"/>
      <c r="C264" s="52"/>
      <c r="D264" s="52"/>
      <c r="E264" s="52"/>
      <c r="F264" s="52"/>
      <c r="G264" s="52"/>
      <c r="H264" s="49"/>
      <c r="I264" s="47"/>
      <c r="J264" s="47"/>
      <c r="K264" s="47"/>
      <c r="L264" s="47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  <c r="AA264" s="50"/>
    </row>
    <row r="265" spans="1:27" ht="12.75" customHeight="1" x14ac:dyDescent="0.2">
      <c r="A265" s="47"/>
      <c r="B265" s="52"/>
      <c r="C265" s="52"/>
      <c r="D265" s="52"/>
      <c r="E265" s="52"/>
      <c r="F265" s="52"/>
      <c r="G265" s="52"/>
      <c r="H265" s="49"/>
      <c r="I265" s="47"/>
      <c r="J265" s="47"/>
      <c r="K265" s="47"/>
      <c r="L265" s="47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  <c r="AA265" s="50"/>
    </row>
    <row r="266" spans="1:27" ht="12.75" customHeight="1" x14ac:dyDescent="0.2">
      <c r="A266" s="47"/>
      <c r="B266" s="52"/>
      <c r="C266" s="52"/>
      <c r="D266" s="52"/>
      <c r="E266" s="52"/>
      <c r="F266" s="52"/>
      <c r="G266" s="52"/>
      <c r="H266" s="49"/>
      <c r="I266" s="47"/>
      <c r="J266" s="47"/>
      <c r="K266" s="47"/>
      <c r="L266" s="47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/>
      <c r="AA266" s="50"/>
    </row>
    <row r="267" spans="1:27" ht="12.75" customHeight="1" x14ac:dyDescent="0.2">
      <c r="A267" s="47"/>
      <c r="B267" s="52"/>
      <c r="C267" s="52"/>
      <c r="D267" s="52"/>
      <c r="E267" s="52"/>
      <c r="F267" s="52"/>
      <c r="G267" s="52"/>
      <c r="H267" s="49"/>
      <c r="I267" s="47"/>
      <c r="J267" s="47"/>
      <c r="K267" s="47"/>
      <c r="L267" s="47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  <c r="AA267" s="50"/>
    </row>
    <row r="268" spans="1:27" ht="12.75" customHeight="1" x14ac:dyDescent="0.2">
      <c r="A268" s="47"/>
      <c r="B268" s="52"/>
      <c r="C268" s="52"/>
      <c r="D268" s="52"/>
      <c r="E268" s="52"/>
      <c r="F268" s="52"/>
      <c r="G268" s="52"/>
      <c r="H268" s="49"/>
      <c r="I268" s="47"/>
      <c r="J268" s="47"/>
      <c r="K268" s="47"/>
      <c r="L268" s="47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/>
      <c r="AA268" s="50"/>
    </row>
    <row r="269" spans="1:27" ht="12.75" customHeight="1" x14ac:dyDescent="0.2">
      <c r="A269" s="47"/>
      <c r="B269" s="52"/>
      <c r="C269" s="52"/>
      <c r="D269" s="52"/>
      <c r="E269" s="52"/>
      <c r="F269" s="52"/>
      <c r="G269" s="52"/>
      <c r="H269" s="49"/>
      <c r="I269" s="47"/>
      <c r="J269" s="47"/>
      <c r="K269" s="47"/>
      <c r="L269" s="47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  <c r="AA269" s="50"/>
    </row>
    <row r="270" spans="1:27" ht="12.75" customHeight="1" x14ac:dyDescent="0.2">
      <c r="A270" s="47"/>
      <c r="B270" s="52"/>
      <c r="C270" s="52"/>
      <c r="D270" s="52"/>
      <c r="E270" s="52"/>
      <c r="F270" s="52"/>
      <c r="G270" s="52"/>
      <c r="H270" s="49"/>
      <c r="I270" s="47"/>
      <c r="J270" s="47"/>
      <c r="K270" s="47"/>
      <c r="L270" s="47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  <c r="Z270" s="50"/>
      <c r="AA270" s="50"/>
    </row>
    <row r="271" spans="1:27" ht="12.75" customHeight="1" x14ac:dyDescent="0.2">
      <c r="A271" s="47"/>
      <c r="B271" s="52"/>
      <c r="C271" s="52"/>
      <c r="D271" s="52"/>
      <c r="E271" s="52"/>
      <c r="F271" s="52"/>
      <c r="G271" s="52"/>
      <c r="H271" s="49"/>
      <c r="I271" s="47"/>
      <c r="J271" s="47"/>
      <c r="K271" s="47"/>
      <c r="L271" s="47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Z271" s="50"/>
      <c r="AA271" s="50"/>
    </row>
    <row r="272" spans="1:27" ht="12.75" customHeight="1" x14ac:dyDescent="0.2">
      <c r="A272" s="47"/>
      <c r="B272" s="52"/>
      <c r="C272" s="52"/>
      <c r="D272" s="52"/>
      <c r="E272" s="52"/>
      <c r="F272" s="52"/>
      <c r="G272" s="52"/>
      <c r="H272" s="49"/>
      <c r="I272" s="47"/>
      <c r="J272" s="47"/>
      <c r="K272" s="47"/>
      <c r="L272" s="47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  <c r="Z272" s="50"/>
      <c r="AA272" s="50"/>
    </row>
    <row r="273" spans="1:27" ht="12.75" customHeight="1" x14ac:dyDescent="0.2">
      <c r="A273" s="47"/>
      <c r="B273" s="52"/>
      <c r="C273" s="52"/>
      <c r="D273" s="52"/>
      <c r="E273" s="52"/>
      <c r="F273" s="52"/>
      <c r="G273" s="52"/>
      <c r="H273" s="49"/>
      <c r="I273" s="47"/>
      <c r="J273" s="47"/>
      <c r="K273" s="47"/>
      <c r="L273" s="47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0"/>
      <c r="AA273" s="50"/>
    </row>
    <row r="274" spans="1:27" ht="12.75" customHeight="1" x14ac:dyDescent="0.2">
      <c r="A274" s="47"/>
      <c r="B274" s="52"/>
      <c r="C274" s="52"/>
      <c r="D274" s="52"/>
      <c r="E274" s="52"/>
      <c r="F274" s="52"/>
      <c r="G274" s="52"/>
      <c r="H274" s="49"/>
      <c r="I274" s="47"/>
      <c r="J274" s="47"/>
      <c r="K274" s="47"/>
      <c r="L274" s="47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  <c r="Z274" s="50"/>
      <c r="AA274" s="50"/>
    </row>
    <row r="275" spans="1:27" ht="12.75" customHeight="1" x14ac:dyDescent="0.2">
      <c r="A275" s="47"/>
      <c r="B275" s="52"/>
      <c r="C275" s="52"/>
      <c r="D275" s="52"/>
      <c r="E275" s="52"/>
      <c r="F275" s="52"/>
      <c r="G275" s="52"/>
      <c r="H275" s="49"/>
      <c r="I275" s="47"/>
      <c r="J275" s="47"/>
      <c r="K275" s="47"/>
      <c r="L275" s="47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  <c r="Z275" s="50"/>
      <c r="AA275" s="50"/>
    </row>
    <row r="276" spans="1:27" ht="12.75" customHeight="1" x14ac:dyDescent="0.2">
      <c r="A276" s="47"/>
      <c r="B276" s="52"/>
      <c r="C276" s="52"/>
      <c r="D276" s="52"/>
      <c r="E276" s="52"/>
      <c r="F276" s="52"/>
      <c r="G276" s="52"/>
      <c r="H276" s="49"/>
      <c r="I276" s="47"/>
      <c r="J276" s="47"/>
      <c r="K276" s="47"/>
      <c r="L276" s="47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  <c r="Z276" s="50"/>
      <c r="AA276" s="50"/>
    </row>
    <row r="277" spans="1:27" ht="12.75" customHeight="1" x14ac:dyDescent="0.2">
      <c r="A277" s="47"/>
      <c r="B277" s="52"/>
      <c r="C277" s="52"/>
      <c r="D277" s="52"/>
      <c r="E277" s="52"/>
      <c r="F277" s="52"/>
      <c r="G277" s="52"/>
      <c r="H277" s="49"/>
      <c r="I277" s="47"/>
      <c r="J277" s="47"/>
      <c r="K277" s="47"/>
      <c r="L277" s="47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Z277" s="50"/>
      <c r="AA277" s="50"/>
    </row>
    <row r="278" spans="1:27" ht="12.75" customHeight="1" x14ac:dyDescent="0.2">
      <c r="A278" s="47"/>
      <c r="B278" s="52"/>
      <c r="C278" s="52"/>
      <c r="D278" s="52"/>
      <c r="E278" s="52"/>
      <c r="F278" s="52"/>
      <c r="G278" s="52"/>
      <c r="H278" s="49"/>
      <c r="I278" s="47"/>
      <c r="J278" s="47"/>
      <c r="K278" s="47"/>
      <c r="L278" s="47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/>
      <c r="AA278" s="50"/>
    </row>
    <row r="279" spans="1:27" ht="12.75" customHeight="1" x14ac:dyDescent="0.2">
      <c r="A279" s="47"/>
      <c r="B279" s="52"/>
      <c r="C279" s="52"/>
      <c r="D279" s="52"/>
      <c r="E279" s="52"/>
      <c r="F279" s="52"/>
      <c r="G279" s="52"/>
      <c r="H279" s="49"/>
      <c r="I279" s="47"/>
      <c r="J279" s="47"/>
      <c r="K279" s="47"/>
      <c r="L279" s="47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  <c r="AA279" s="50"/>
    </row>
    <row r="280" spans="1:27" ht="12.75" customHeight="1" x14ac:dyDescent="0.2">
      <c r="A280" s="47"/>
      <c r="B280" s="52"/>
      <c r="C280" s="52"/>
      <c r="D280" s="52"/>
      <c r="E280" s="52"/>
      <c r="F280" s="52"/>
      <c r="G280" s="52"/>
      <c r="H280" s="49"/>
      <c r="I280" s="47"/>
      <c r="J280" s="47"/>
      <c r="K280" s="47"/>
      <c r="L280" s="47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/>
      <c r="AA280" s="50"/>
    </row>
    <row r="281" spans="1:27" ht="12.75" customHeight="1" x14ac:dyDescent="0.2">
      <c r="A281" s="47"/>
      <c r="B281" s="52"/>
      <c r="C281" s="52"/>
      <c r="D281" s="52"/>
      <c r="E281" s="52"/>
      <c r="F281" s="52"/>
      <c r="G281" s="52"/>
      <c r="H281" s="49"/>
      <c r="I281" s="47"/>
      <c r="J281" s="47"/>
      <c r="K281" s="47"/>
      <c r="L281" s="47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Z281" s="50"/>
      <c r="AA281" s="50"/>
    </row>
    <row r="282" spans="1:27" ht="12.75" customHeight="1" x14ac:dyDescent="0.2">
      <c r="A282" s="47"/>
      <c r="B282" s="52"/>
      <c r="C282" s="52"/>
      <c r="D282" s="52"/>
      <c r="E282" s="52"/>
      <c r="F282" s="52"/>
      <c r="G282" s="52"/>
      <c r="H282" s="49"/>
      <c r="I282" s="47"/>
      <c r="J282" s="47"/>
      <c r="K282" s="47"/>
      <c r="L282" s="47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  <c r="Z282" s="50"/>
      <c r="AA282" s="50"/>
    </row>
    <row r="283" spans="1:27" ht="12.75" customHeight="1" x14ac:dyDescent="0.2">
      <c r="A283" s="47"/>
      <c r="B283" s="52"/>
      <c r="C283" s="52"/>
      <c r="D283" s="52"/>
      <c r="E283" s="52"/>
      <c r="F283" s="52"/>
      <c r="G283" s="52"/>
      <c r="H283" s="49"/>
      <c r="I283" s="47"/>
      <c r="J283" s="47"/>
      <c r="K283" s="47"/>
      <c r="L283" s="47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  <c r="Z283" s="50"/>
      <c r="AA283" s="50"/>
    </row>
    <row r="284" spans="1:27" ht="12.75" customHeight="1" x14ac:dyDescent="0.2">
      <c r="A284" s="47"/>
      <c r="B284" s="52"/>
      <c r="C284" s="52"/>
      <c r="D284" s="52"/>
      <c r="E284" s="52"/>
      <c r="F284" s="52"/>
      <c r="G284" s="52"/>
      <c r="H284" s="49"/>
      <c r="I284" s="47"/>
      <c r="J284" s="47"/>
      <c r="K284" s="47"/>
      <c r="L284" s="47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0"/>
      <c r="AA284" s="50"/>
    </row>
    <row r="285" spans="1:27" ht="12.75" customHeight="1" x14ac:dyDescent="0.2">
      <c r="A285" s="47"/>
      <c r="B285" s="52"/>
      <c r="C285" s="52"/>
      <c r="D285" s="52"/>
      <c r="E285" s="52"/>
      <c r="F285" s="52"/>
      <c r="G285" s="52"/>
      <c r="H285" s="49"/>
      <c r="I285" s="47"/>
      <c r="J285" s="47"/>
      <c r="K285" s="47"/>
      <c r="L285" s="47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50"/>
      <c r="Z285" s="50"/>
      <c r="AA285" s="50"/>
    </row>
    <row r="286" spans="1:27" ht="12.75" customHeight="1" x14ac:dyDescent="0.2">
      <c r="A286" s="47"/>
      <c r="B286" s="52"/>
      <c r="C286" s="52"/>
      <c r="D286" s="52"/>
      <c r="E286" s="52"/>
      <c r="F286" s="52"/>
      <c r="G286" s="52"/>
      <c r="H286" s="49"/>
      <c r="I286" s="47"/>
      <c r="J286" s="47"/>
      <c r="K286" s="47"/>
      <c r="L286" s="47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  <c r="Z286" s="50"/>
      <c r="AA286" s="50"/>
    </row>
    <row r="287" spans="1:27" ht="12.75" customHeight="1" x14ac:dyDescent="0.2">
      <c r="A287" s="47"/>
      <c r="B287" s="52"/>
      <c r="C287" s="52"/>
      <c r="D287" s="52"/>
      <c r="E287" s="52"/>
      <c r="F287" s="52"/>
      <c r="G287" s="52"/>
      <c r="H287" s="49"/>
      <c r="I287" s="47"/>
      <c r="J287" s="47"/>
      <c r="K287" s="47"/>
      <c r="L287" s="47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  <c r="Z287" s="50"/>
      <c r="AA287" s="50"/>
    </row>
    <row r="288" spans="1:27" ht="12.75" customHeight="1" x14ac:dyDescent="0.2">
      <c r="A288" s="47"/>
      <c r="B288" s="52"/>
      <c r="C288" s="52"/>
      <c r="D288" s="52"/>
      <c r="E288" s="52"/>
      <c r="F288" s="52"/>
      <c r="G288" s="52"/>
      <c r="H288" s="49"/>
      <c r="I288" s="47"/>
      <c r="J288" s="47"/>
      <c r="K288" s="47"/>
      <c r="L288" s="47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0"/>
      <c r="AA288" s="50"/>
    </row>
    <row r="289" spans="1:27" ht="12.75" customHeight="1" x14ac:dyDescent="0.2">
      <c r="A289" s="47"/>
      <c r="B289" s="52"/>
      <c r="C289" s="52"/>
      <c r="D289" s="52"/>
      <c r="E289" s="52"/>
      <c r="F289" s="52"/>
      <c r="G289" s="52"/>
      <c r="H289" s="49"/>
      <c r="I289" s="47"/>
      <c r="J289" s="47"/>
      <c r="K289" s="47"/>
      <c r="L289" s="47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  <c r="Z289" s="50"/>
      <c r="AA289" s="50"/>
    </row>
    <row r="290" spans="1:27" ht="12.75" customHeight="1" x14ac:dyDescent="0.2">
      <c r="A290" s="47"/>
      <c r="B290" s="52"/>
      <c r="C290" s="52"/>
      <c r="D290" s="52"/>
      <c r="E290" s="52"/>
      <c r="F290" s="52"/>
      <c r="G290" s="52"/>
      <c r="H290" s="49"/>
      <c r="I290" s="47"/>
      <c r="J290" s="47"/>
      <c r="K290" s="47"/>
      <c r="L290" s="47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  <c r="Z290" s="50"/>
      <c r="AA290" s="50"/>
    </row>
    <row r="291" spans="1:27" ht="12.75" customHeight="1" x14ac:dyDescent="0.2">
      <c r="A291" s="47"/>
      <c r="B291" s="52"/>
      <c r="C291" s="52"/>
      <c r="D291" s="52"/>
      <c r="E291" s="52"/>
      <c r="F291" s="52"/>
      <c r="G291" s="52"/>
      <c r="H291" s="49"/>
      <c r="I291" s="47"/>
      <c r="J291" s="47"/>
      <c r="K291" s="47"/>
      <c r="L291" s="47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  <c r="Z291" s="50"/>
      <c r="AA291" s="50"/>
    </row>
    <row r="292" spans="1:27" ht="12.75" customHeight="1" x14ac:dyDescent="0.2">
      <c r="A292" s="47"/>
      <c r="B292" s="52"/>
      <c r="C292" s="52"/>
      <c r="D292" s="52"/>
      <c r="E292" s="52"/>
      <c r="F292" s="52"/>
      <c r="G292" s="52"/>
      <c r="H292" s="49"/>
      <c r="I292" s="47"/>
      <c r="J292" s="47"/>
      <c r="K292" s="47"/>
      <c r="L292" s="47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  <c r="Z292" s="50"/>
      <c r="AA292" s="50"/>
    </row>
    <row r="293" spans="1:27" ht="12.75" customHeight="1" x14ac:dyDescent="0.2">
      <c r="A293" s="47"/>
      <c r="B293" s="52"/>
      <c r="C293" s="52"/>
      <c r="D293" s="52"/>
      <c r="E293" s="52"/>
      <c r="F293" s="52"/>
      <c r="G293" s="52"/>
      <c r="H293" s="49"/>
      <c r="I293" s="47"/>
      <c r="J293" s="47"/>
      <c r="K293" s="47"/>
      <c r="L293" s="47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/>
      <c r="AA293" s="50"/>
    </row>
    <row r="294" spans="1:27" ht="12.75" customHeight="1" x14ac:dyDescent="0.2">
      <c r="A294" s="47"/>
      <c r="B294" s="52"/>
      <c r="C294" s="52"/>
      <c r="D294" s="52"/>
      <c r="E294" s="52"/>
      <c r="F294" s="52"/>
      <c r="G294" s="52"/>
      <c r="H294" s="49"/>
      <c r="I294" s="47"/>
      <c r="J294" s="47"/>
      <c r="K294" s="47"/>
      <c r="L294" s="47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0"/>
      <c r="AA294" s="50"/>
    </row>
    <row r="295" spans="1:27" ht="12.75" customHeight="1" x14ac:dyDescent="0.2">
      <c r="A295" s="47"/>
      <c r="B295" s="52"/>
      <c r="C295" s="52"/>
      <c r="D295" s="52"/>
      <c r="E295" s="52"/>
      <c r="F295" s="52"/>
      <c r="G295" s="52"/>
      <c r="H295" s="49"/>
      <c r="I295" s="47"/>
      <c r="J295" s="47"/>
      <c r="K295" s="47"/>
      <c r="L295" s="47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/>
      <c r="AA295" s="50"/>
    </row>
    <row r="296" spans="1:27" ht="12.75" customHeight="1" x14ac:dyDescent="0.2">
      <c r="A296" s="47"/>
      <c r="B296" s="52"/>
      <c r="C296" s="52"/>
      <c r="D296" s="52"/>
      <c r="E296" s="52"/>
      <c r="F296" s="52"/>
      <c r="G296" s="52"/>
      <c r="H296" s="49"/>
      <c r="I296" s="47"/>
      <c r="J296" s="47"/>
      <c r="K296" s="47"/>
      <c r="L296" s="47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  <c r="AA296" s="50"/>
    </row>
    <row r="297" spans="1:27" ht="12.75" customHeight="1" x14ac:dyDescent="0.2">
      <c r="A297" s="47"/>
      <c r="B297" s="52"/>
      <c r="C297" s="52"/>
      <c r="D297" s="52"/>
      <c r="E297" s="52"/>
      <c r="F297" s="52"/>
      <c r="G297" s="52"/>
      <c r="H297" s="49"/>
      <c r="I297" s="47"/>
      <c r="J297" s="47"/>
      <c r="K297" s="47"/>
      <c r="L297" s="47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0"/>
      <c r="AA297" s="50"/>
    </row>
    <row r="298" spans="1:27" ht="12.75" customHeight="1" x14ac:dyDescent="0.2">
      <c r="A298" s="47"/>
      <c r="B298" s="52"/>
      <c r="C298" s="52"/>
      <c r="D298" s="52"/>
      <c r="E298" s="52"/>
      <c r="F298" s="52"/>
      <c r="G298" s="52"/>
      <c r="H298" s="49"/>
      <c r="I298" s="47"/>
      <c r="J298" s="47"/>
      <c r="K298" s="47"/>
      <c r="L298" s="47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0"/>
      <c r="AA298" s="50"/>
    </row>
    <row r="299" spans="1:27" ht="12.75" customHeight="1" x14ac:dyDescent="0.2">
      <c r="A299" s="47"/>
      <c r="B299" s="52"/>
      <c r="C299" s="52"/>
      <c r="D299" s="52"/>
      <c r="E299" s="52"/>
      <c r="F299" s="52"/>
      <c r="G299" s="52"/>
      <c r="H299" s="49"/>
      <c r="I299" s="47"/>
      <c r="J299" s="47"/>
      <c r="K299" s="47"/>
      <c r="L299" s="47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Z299" s="50"/>
      <c r="AA299" s="50"/>
    </row>
    <row r="300" spans="1:27" ht="12.75" customHeight="1" x14ac:dyDescent="0.2">
      <c r="A300" s="47"/>
      <c r="B300" s="52"/>
      <c r="C300" s="52"/>
      <c r="D300" s="52"/>
      <c r="E300" s="52"/>
      <c r="F300" s="52"/>
      <c r="G300" s="52"/>
      <c r="H300" s="49"/>
      <c r="I300" s="47"/>
      <c r="J300" s="47"/>
      <c r="K300" s="47"/>
      <c r="L300" s="47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0"/>
      <c r="AA300" s="50"/>
    </row>
    <row r="301" spans="1:27" ht="12.75" customHeight="1" x14ac:dyDescent="0.2">
      <c r="A301" s="47"/>
      <c r="B301" s="52"/>
      <c r="C301" s="52"/>
      <c r="D301" s="52"/>
      <c r="E301" s="52"/>
      <c r="F301" s="52"/>
      <c r="G301" s="52"/>
      <c r="H301" s="49"/>
      <c r="I301" s="47"/>
      <c r="J301" s="47"/>
      <c r="K301" s="47"/>
      <c r="L301" s="47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Z301" s="50"/>
      <c r="AA301" s="50"/>
    </row>
    <row r="302" spans="1:27" ht="12.75" customHeight="1" x14ac:dyDescent="0.2">
      <c r="A302" s="47"/>
      <c r="B302" s="52"/>
      <c r="C302" s="52"/>
      <c r="D302" s="52"/>
      <c r="E302" s="52"/>
      <c r="F302" s="52"/>
      <c r="G302" s="52"/>
      <c r="H302" s="49"/>
      <c r="I302" s="47"/>
      <c r="J302" s="47"/>
      <c r="K302" s="47"/>
      <c r="L302" s="47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  <c r="AA302" s="50"/>
    </row>
    <row r="303" spans="1:27" ht="12.75" customHeight="1" x14ac:dyDescent="0.2">
      <c r="A303" s="47"/>
      <c r="B303" s="52"/>
      <c r="C303" s="52"/>
      <c r="D303" s="52"/>
      <c r="E303" s="52"/>
      <c r="F303" s="52"/>
      <c r="G303" s="52"/>
      <c r="H303" s="49"/>
      <c r="I303" s="47"/>
      <c r="J303" s="47"/>
      <c r="K303" s="47"/>
      <c r="L303" s="47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/>
      <c r="Z303" s="50"/>
      <c r="AA303" s="50"/>
    </row>
    <row r="304" spans="1:27" ht="12.75" customHeight="1" x14ac:dyDescent="0.2">
      <c r="A304" s="47"/>
      <c r="B304" s="52"/>
      <c r="C304" s="52"/>
      <c r="D304" s="52"/>
      <c r="E304" s="52"/>
      <c r="F304" s="52"/>
      <c r="G304" s="52"/>
      <c r="H304" s="49"/>
      <c r="I304" s="47"/>
      <c r="J304" s="47"/>
      <c r="K304" s="47"/>
      <c r="L304" s="47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  <c r="Z304" s="50"/>
      <c r="AA304" s="50"/>
    </row>
    <row r="305" spans="1:27" ht="12.75" customHeight="1" x14ac:dyDescent="0.2">
      <c r="A305" s="47"/>
      <c r="B305" s="52"/>
      <c r="C305" s="52"/>
      <c r="D305" s="52"/>
      <c r="E305" s="52"/>
      <c r="F305" s="52"/>
      <c r="G305" s="52"/>
      <c r="H305" s="49"/>
      <c r="I305" s="47"/>
      <c r="J305" s="47"/>
      <c r="K305" s="47"/>
      <c r="L305" s="47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  <c r="AA305" s="50"/>
    </row>
    <row r="306" spans="1:27" ht="12.75" customHeight="1" x14ac:dyDescent="0.2">
      <c r="A306" s="47"/>
      <c r="B306" s="52"/>
      <c r="C306" s="52"/>
      <c r="D306" s="52"/>
      <c r="E306" s="52"/>
      <c r="F306" s="52"/>
      <c r="G306" s="52"/>
      <c r="H306" s="49"/>
      <c r="I306" s="47"/>
      <c r="J306" s="47"/>
      <c r="K306" s="47"/>
      <c r="L306" s="47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50"/>
      <c r="Z306" s="50"/>
      <c r="AA306" s="50"/>
    </row>
    <row r="307" spans="1:27" ht="12.75" customHeight="1" x14ac:dyDescent="0.2">
      <c r="A307" s="47"/>
      <c r="B307" s="52"/>
      <c r="C307" s="52"/>
      <c r="D307" s="52"/>
      <c r="E307" s="52"/>
      <c r="F307" s="52"/>
      <c r="G307" s="52"/>
      <c r="H307" s="49"/>
      <c r="I307" s="47"/>
      <c r="J307" s="47"/>
      <c r="K307" s="47"/>
      <c r="L307" s="47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  <c r="AA307" s="50"/>
    </row>
    <row r="308" spans="1:27" ht="12.75" customHeight="1" x14ac:dyDescent="0.2">
      <c r="A308" s="47"/>
      <c r="B308" s="52"/>
      <c r="C308" s="52"/>
      <c r="D308" s="52"/>
      <c r="E308" s="52"/>
      <c r="F308" s="52"/>
      <c r="G308" s="52"/>
      <c r="H308" s="49"/>
      <c r="I308" s="47"/>
      <c r="J308" s="47"/>
      <c r="K308" s="47"/>
      <c r="L308" s="47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Z308" s="50"/>
      <c r="AA308" s="50"/>
    </row>
    <row r="309" spans="1:27" ht="12.75" customHeight="1" x14ac:dyDescent="0.2">
      <c r="A309" s="47"/>
      <c r="B309" s="52"/>
      <c r="C309" s="52"/>
      <c r="D309" s="52"/>
      <c r="E309" s="52"/>
      <c r="F309" s="52"/>
      <c r="G309" s="52"/>
      <c r="H309" s="49"/>
      <c r="I309" s="47"/>
      <c r="J309" s="47"/>
      <c r="K309" s="47"/>
      <c r="L309" s="47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  <c r="AA309" s="50"/>
    </row>
    <row r="310" spans="1:27" ht="12.75" customHeight="1" x14ac:dyDescent="0.2">
      <c r="A310" s="47"/>
      <c r="B310" s="52"/>
      <c r="C310" s="52"/>
      <c r="D310" s="52"/>
      <c r="E310" s="52"/>
      <c r="F310" s="52"/>
      <c r="G310" s="52"/>
      <c r="H310" s="49"/>
      <c r="I310" s="47"/>
      <c r="J310" s="47"/>
      <c r="K310" s="47"/>
      <c r="L310" s="47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50"/>
      <c r="Z310" s="50"/>
      <c r="AA310" s="50"/>
    </row>
    <row r="311" spans="1:27" ht="15.75" customHeight="1" x14ac:dyDescent="0.2">
      <c r="B311" s="54"/>
      <c r="C311" s="54"/>
      <c r="D311" s="54"/>
      <c r="E311" s="54"/>
      <c r="F311" s="54"/>
      <c r="G311" s="54"/>
    </row>
    <row r="312" spans="1:27" ht="15.75" customHeight="1" x14ac:dyDescent="0.2">
      <c r="B312" s="54"/>
      <c r="C312" s="54"/>
      <c r="D312" s="54"/>
      <c r="E312" s="54"/>
      <c r="F312" s="54"/>
      <c r="G312" s="54"/>
    </row>
    <row r="313" spans="1:27" ht="15.75" customHeight="1" x14ac:dyDescent="0.2">
      <c r="B313" s="54"/>
      <c r="C313" s="54"/>
      <c r="D313" s="54"/>
      <c r="E313" s="54"/>
      <c r="F313" s="54"/>
      <c r="G313" s="54"/>
    </row>
    <row r="314" spans="1:27" ht="15.75" customHeight="1" x14ac:dyDescent="0.2">
      <c r="B314" s="54"/>
      <c r="C314" s="54"/>
      <c r="D314" s="54"/>
      <c r="E314" s="54"/>
      <c r="F314" s="54"/>
      <c r="G314" s="54"/>
    </row>
    <row r="315" spans="1:27" ht="15.75" customHeight="1" x14ac:dyDescent="0.2">
      <c r="B315" s="54"/>
      <c r="C315" s="54"/>
      <c r="D315" s="54"/>
      <c r="E315" s="54"/>
      <c r="F315" s="54"/>
      <c r="G315" s="54"/>
    </row>
    <row r="316" spans="1:27" ht="15.75" customHeight="1" x14ac:dyDescent="0.2">
      <c r="B316" s="54"/>
      <c r="C316" s="54"/>
      <c r="D316" s="54"/>
      <c r="E316" s="54"/>
      <c r="F316" s="54"/>
      <c r="G316" s="54"/>
    </row>
    <row r="317" spans="1:27" ht="15.75" customHeight="1" x14ac:dyDescent="0.2">
      <c r="B317" s="54"/>
      <c r="C317" s="54"/>
      <c r="D317" s="54"/>
      <c r="E317" s="54"/>
      <c r="F317" s="54"/>
      <c r="G317" s="54"/>
    </row>
    <row r="318" spans="1:27" ht="15.75" customHeight="1" x14ac:dyDescent="0.2">
      <c r="B318" s="54"/>
      <c r="C318" s="54"/>
      <c r="D318" s="54"/>
      <c r="E318" s="54"/>
      <c r="F318" s="54"/>
      <c r="G318" s="54"/>
    </row>
    <row r="319" spans="1:27" ht="15.75" customHeight="1" x14ac:dyDescent="0.2">
      <c r="B319" s="54"/>
      <c r="C319" s="54"/>
      <c r="D319" s="54"/>
      <c r="E319" s="54"/>
      <c r="F319" s="54"/>
      <c r="G319" s="54"/>
    </row>
    <row r="320" spans="1:27" ht="15.75" customHeight="1" x14ac:dyDescent="0.2">
      <c r="B320" s="54"/>
      <c r="C320" s="54"/>
      <c r="D320" s="54"/>
      <c r="E320" s="54"/>
      <c r="F320" s="54"/>
      <c r="G320" s="54"/>
    </row>
    <row r="321" spans="2:7" ht="15.75" customHeight="1" x14ac:dyDescent="0.2">
      <c r="B321" s="54"/>
      <c r="C321" s="54"/>
      <c r="D321" s="54"/>
      <c r="E321" s="54"/>
      <c r="F321" s="54"/>
      <c r="G321" s="54"/>
    </row>
    <row r="322" spans="2:7" ht="15.75" customHeight="1" x14ac:dyDescent="0.2">
      <c r="B322" s="54"/>
      <c r="C322" s="54"/>
      <c r="D322" s="54"/>
      <c r="E322" s="54"/>
      <c r="F322" s="54"/>
      <c r="G322" s="54"/>
    </row>
    <row r="323" spans="2:7" ht="15.75" customHeight="1" x14ac:dyDescent="0.2">
      <c r="B323" s="54"/>
      <c r="C323" s="54"/>
      <c r="D323" s="54"/>
      <c r="E323" s="54"/>
      <c r="F323" s="54"/>
      <c r="G323" s="54"/>
    </row>
    <row r="324" spans="2:7" ht="15.75" customHeight="1" x14ac:dyDescent="0.2">
      <c r="B324" s="54"/>
      <c r="C324" s="54"/>
      <c r="D324" s="54"/>
      <c r="E324" s="54"/>
      <c r="F324" s="54"/>
      <c r="G324" s="54"/>
    </row>
    <row r="325" spans="2:7" ht="15.75" customHeight="1" x14ac:dyDescent="0.2">
      <c r="B325" s="54"/>
      <c r="C325" s="54"/>
      <c r="D325" s="54"/>
      <c r="E325" s="54"/>
      <c r="F325" s="54"/>
      <c r="G325" s="54"/>
    </row>
    <row r="326" spans="2:7" ht="15.75" customHeight="1" x14ac:dyDescent="0.2">
      <c r="B326" s="54"/>
      <c r="C326" s="54"/>
      <c r="D326" s="54"/>
      <c r="E326" s="54"/>
      <c r="F326" s="54"/>
      <c r="G326" s="54"/>
    </row>
    <row r="327" spans="2:7" ht="15.75" customHeight="1" x14ac:dyDescent="0.2">
      <c r="B327" s="54"/>
      <c r="C327" s="54"/>
      <c r="D327" s="54"/>
      <c r="E327" s="54"/>
      <c r="F327" s="54"/>
      <c r="G327" s="54"/>
    </row>
    <row r="328" spans="2:7" ht="15.75" customHeight="1" x14ac:dyDescent="0.2">
      <c r="B328" s="54"/>
      <c r="C328" s="54"/>
      <c r="D328" s="54"/>
      <c r="E328" s="54"/>
      <c r="F328" s="54"/>
      <c r="G328" s="54"/>
    </row>
    <row r="329" spans="2:7" ht="15.75" customHeight="1" x14ac:dyDescent="0.2">
      <c r="B329" s="54"/>
      <c r="C329" s="54"/>
      <c r="D329" s="54"/>
      <c r="E329" s="54"/>
      <c r="F329" s="54"/>
      <c r="G329" s="54"/>
    </row>
    <row r="330" spans="2:7" ht="15.75" customHeight="1" x14ac:dyDescent="0.2">
      <c r="B330" s="54"/>
      <c r="C330" s="54"/>
      <c r="D330" s="54"/>
      <c r="E330" s="54"/>
      <c r="F330" s="54"/>
      <c r="G330" s="54"/>
    </row>
    <row r="331" spans="2:7" ht="15.75" customHeight="1" x14ac:dyDescent="0.2">
      <c r="B331" s="54"/>
      <c r="C331" s="54"/>
      <c r="D331" s="54"/>
      <c r="E331" s="54"/>
      <c r="F331" s="54"/>
      <c r="G331" s="54"/>
    </row>
    <row r="332" spans="2:7" ht="15.75" customHeight="1" x14ac:dyDescent="0.2">
      <c r="B332" s="54"/>
      <c r="C332" s="54"/>
      <c r="D332" s="54"/>
      <c r="E332" s="54"/>
      <c r="F332" s="54"/>
      <c r="G332" s="54"/>
    </row>
    <row r="333" spans="2:7" ht="15.75" customHeight="1" x14ac:dyDescent="0.2">
      <c r="B333" s="54"/>
      <c r="C333" s="54"/>
      <c r="D333" s="54"/>
      <c r="E333" s="54"/>
      <c r="F333" s="54"/>
      <c r="G333" s="54"/>
    </row>
    <row r="334" spans="2:7" ht="15.75" customHeight="1" x14ac:dyDescent="0.2">
      <c r="B334" s="54"/>
      <c r="C334" s="54"/>
      <c r="D334" s="54"/>
      <c r="E334" s="54"/>
      <c r="F334" s="54"/>
      <c r="G334" s="54"/>
    </row>
    <row r="335" spans="2:7" ht="15.75" customHeight="1" x14ac:dyDescent="0.2">
      <c r="B335" s="54"/>
      <c r="C335" s="54"/>
      <c r="D335" s="54"/>
      <c r="E335" s="54"/>
      <c r="F335" s="54"/>
      <c r="G335" s="54"/>
    </row>
    <row r="336" spans="2:7" ht="15.75" customHeight="1" x14ac:dyDescent="0.2">
      <c r="B336" s="54"/>
      <c r="C336" s="54"/>
      <c r="D336" s="54"/>
      <c r="E336" s="54"/>
      <c r="F336" s="54"/>
      <c r="G336" s="54"/>
    </row>
    <row r="337" spans="2:7" ht="15.75" customHeight="1" x14ac:dyDescent="0.2">
      <c r="B337" s="54"/>
      <c r="C337" s="54"/>
      <c r="D337" s="54"/>
      <c r="E337" s="54"/>
      <c r="F337" s="54"/>
      <c r="G337" s="54"/>
    </row>
    <row r="338" spans="2:7" ht="15.75" customHeight="1" x14ac:dyDescent="0.2">
      <c r="B338" s="54"/>
      <c r="C338" s="54"/>
      <c r="D338" s="54"/>
      <c r="E338" s="54"/>
      <c r="F338" s="54"/>
      <c r="G338" s="54"/>
    </row>
    <row r="339" spans="2:7" ht="15.75" customHeight="1" x14ac:dyDescent="0.2">
      <c r="B339" s="54"/>
      <c r="C339" s="54"/>
      <c r="D339" s="54"/>
      <c r="E339" s="54"/>
      <c r="F339" s="54"/>
      <c r="G339" s="54"/>
    </row>
    <row r="340" spans="2:7" ht="15.75" customHeight="1" x14ac:dyDescent="0.2">
      <c r="B340" s="54"/>
      <c r="C340" s="54"/>
      <c r="D340" s="54"/>
      <c r="E340" s="54"/>
      <c r="F340" s="54"/>
      <c r="G340" s="54"/>
    </row>
    <row r="341" spans="2:7" ht="15.75" customHeight="1" x14ac:dyDescent="0.2">
      <c r="B341" s="54"/>
      <c r="C341" s="54"/>
      <c r="D341" s="54"/>
      <c r="E341" s="54"/>
      <c r="F341" s="54"/>
      <c r="G341" s="54"/>
    </row>
    <row r="342" spans="2:7" ht="15.75" customHeight="1" x14ac:dyDescent="0.2">
      <c r="B342" s="54"/>
      <c r="C342" s="54"/>
      <c r="D342" s="54"/>
      <c r="E342" s="54"/>
      <c r="F342" s="54"/>
      <c r="G342" s="54"/>
    </row>
    <row r="343" spans="2:7" ht="15.75" customHeight="1" x14ac:dyDescent="0.2">
      <c r="B343" s="54"/>
      <c r="C343" s="54"/>
      <c r="D343" s="54"/>
      <c r="E343" s="54"/>
      <c r="F343" s="54"/>
      <c r="G343" s="54"/>
    </row>
    <row r="344" spans="2:7" ht="15.75" customHeight="1" x14ac:dyDescent="0.2">
      <c r="B344" s="54"/>
      <c r="C344" s="54"/>
      <c r="D344" s="54"/>
      <c r="E344" s="54"/>
      <c r="F344" s="54"/>
      <c r="G344" s="54"/>
    </row>
    <row r="345" spans="2:7" ht="15.75" customHeight="1" x14ac:dyDescent="0.2">
      <c r="B345" s="54"/>
      <c r="C345" s="54"/>
      <c r="D345" s="54"/>
      <c r="E345" s="54"/>
      <c r="F345" s="54"/>
      <c r="G345" s="54"/>
    </row>
    <row r="346" spans="2:7" ht="15.75" customHeight="1" x14ac:dyDescent="0.2">
      <c r="B346" s="54"/>
      <c r="C346" s="54"/>
      <c r="D346" s="54"/>
      <c r="E346" s="54"/>
      <c r="F346" s="54"/>
      <c r="G346" s="54"/>
    </row>
    <row r="347" spans="2:7" ht="15.75" customHeight="1" x14ac:dyDescent="0.2">
      <c r="B347" s="54"/>
      <c r="C347" s="54"/>
      <c r="D347" s="54"/>
      <c r="E347" s="54"/>
      <c r="F347" s="54"/>
      <c r="G347" s="54"/>
    </row>
    <row r="348" spans="2:7" ht="15.75" customHeight="1" x14ac:dyDescent="0.2">
      <c r="B348" s="54"/>
      <c r="C348" s="54"/>
      <c r="D348" s="54"/>
      <c r="E348" s="54"/>
      <c r="F348" s="54"/>
      <c r="G348" s="54"/>
    </row>
    <row r="349" spans="2:7" ht="15.75" customHeight="1" x14ac:dyDescent="0.2">
      <c r="B349" s="54"/>
      <c r="C349" s="54"/>
      <c r="D349" s="54"/>
      <c r="E349" s="54"/>
      <c r="F349" s="54"/>
      <c r="G349" s="54"/>
    </row>
    <row r="350" spans="2:7" ht="15.75" customHeight="1" x14ac:dyDescent="0.2">
      <c r="B350" s="54"/>
      <c r="C350" s="54"/>
      <c r="D350" s="54"/>
      <c r="E350" s="54"/>
      <c r="F350" s="54"/>
      <c r="G350" s="54"/>
    </row>
    <row r="351" spans="2:7" ht="15.75" customHeight="1" x14ac:dyDescent="0.2">
      <c r="B351" s="54"/>
      <c r="C351" s="54"/>
      <c r="D351" s="54"/>
      <c r="E351" s="54"/>
      <c r="F351" s="54"/>
      <c r="G351" s="54"/>
    </row>
    <row r="352" spans="2:7" ht="15.75" customHeight="1" x14ac:dyDescent="0.2">
      <c r="B352" s="54"/>
      <c r="C352" s="54"/>
      <c r="D352" s="54"/>
      <c r="E352" s="54"/>
      <c r="F352" s="54"/>
      <c r="G352" s="54"/>
    </row>
    <row r="353" spans="2:7" ht="15.75" customHeight="1" x14ac:dyDescent="0.2">
      <c r="B353" s="54"/>
      <c r="C353" s="54"/>
      <c r="D353" s="54"/>
      <c r="E353" s="54"/>
      <c r="F353" s="54"/>
      <c r="G353" s="54"/>
    </row>
    <row r="354" spans="2:7" ht="15.75" customHeight="1" x14ac:dyDescent="0.2">
      <c r="B354" s="54"/>
      <c r="C354" s="54"/>
      <c r="D354" s="54"/>
      <c r="E354" s="54"/>
      <c r="F354" s="54"/>
      <c r="G354" s="54"/>
    </row>
    <row r="355" spans="2:7" ht="15.75" customHeight="1" x14ac:dyDescent="0.2">
      <c r="B355" s="54"/>
      <c r="C355" s="54"/>
      <c r="D355" s="54"/>
      <c r="E355" s="54"/>
      <c r="F355" s="54"/>
      <c r="G355" s="54"/>
    </row>
    <row r="356" spans="2:7" ht="15.75" customHeight="1" x14ac:dyDescent="0.2">
      <c r="B356" s="54"/>
      <c r="C356" s="54"/>
      <c r="D356" s="54"/>
      <c r="E356" s="54"/>
      <c r="F356" s="54"/>
      <c r="G356" s="54"/>
    </row>
    <row r="357" spans="2:7" ht="15.75" customHeight="1" x14ac:dyDescent="0.2">
      <c r="B357" s="54"/>
      <c r="C357" s="54"/>
      <c r="D357" s="54"/>
      <c r="E357" s="54"/>
      <c r="F357" s="54"/>
      <c r="G357" s="54"/>
    </row>
    <row r="358" spans="2:7" ht="15.75" customHeight="1" x14ac:dyDescent="0.2">
      <c r="B358" s="54"/>
      <c r="C358" s="54"/>
      <c r="D358" s="54"/>
      <c r="E358" s="54"/>
      <c r="F358" s="54"/>
      <c r="G358" s="54"/>
    </row>
    <row r="359" spans="2:7" ht="15.75" customHeight="1" x14ac:dyDescent="0.2">
      <c r="B359" s="54"/>
      <c r="C359" s="54"/>
      <c r="D359" s="54"/>
      <c r="E359" s="54"/>
      <c r="F359" s="54"/>
      <c r="G359" s="54"/>
    </row>
    <row r="360" spans="2:7" ht="15.75" customHeight="1" x14ac:dyDescent="0.2">
      <c r="B360" s="54"/>
      <c r="C360" s="54"/>
      <c r="D360" s="54"/>
      <c r="E360" s="54"/>
      <c r="F360" s="54"/>
      <c r="G360" s="54"/>
    </row>
    <row r="361" spans="2:7" ht="15.75" customHeight="1" x14ac:dyDescent="0.2">
      <c r="B361" s="54"/>
      <c r="C361" s="54"/>
      <c r="D361" s="54"/>
      <c r="E361" s="54"/>
      <c r="F361" s="54"/>
      <c r="G361" s="54"/>
    </row>
    <row r="362" spans="2:7" ht="15.75" customHeight="1" x14ac:dyDescent="0.2">
      <c r="B362" s="54"/>
      <c r="C362" s="54"/>
      <c r="D362" s="54"/>
      <c r="E362" s="54"/>
      <c r="F362" s="54"/>
      <c r="G362" s="54"/>
    </row>
    <row r="363" spans="2:7" ht="15.75" customHeight="1" x14ac:dyDescent="0.2">
      <c r="B363" s="54"/>
      <c r="C363" s="54"/>
      <c r="D363" s="54"/>
      <c r="E363" s="54"/>
      <c r="F363" s="54"/>
      <c r="G363" s="54"/>
    </row>
    <row r="364" spans="2:7" ht="15.75" customHeight="1" x14ac:dyDescent="0.2">
      <c r="B364" s="54"/>
      <c r="C364" s="54"/>
      <c r="D364" s="54"/>
      <c r="E364" s="54"/>
      <c r="F364" s="54"/>
      <c r="G364" s="54"/>
    </row>
    <row r="365" spans="2:7" ht="15.75" customHeight="1" x14ac:dyDescent="0.2">
      <c r="B365" s="54"/>
      <c r="C365" s="54"/>
      <c r="D365" s="54"/>
      <c r="E365" s="54"/>
      <c r="F365" s="54"/>
      <c r="G365" s="54"/>
    </row>
    <row r="366" spans="2:7" ht="15.75" customHeight="1" x14ac:dyDescent="0.2">
      <c r="B366" s="54"/>
      <c r="C366" s="54"/>
      <c r="D366" s="54"/>
      <c r="E366" s="54"/>
      <c r="F366" s="54"/>
      <c r="G366" s="54"/>
    </row>
    <row r="367" spans="2:7" ht="15.75" customHeight="1" x14ac:dyDescent="0.2">
      <c r="B367" s="54"/>
      <c r="C367" s="54"/>
      <c r="D367" s="54"/>
      <c r="E367" s="54"/>
      <c r="F367" s="54"/>
      <c r="G367" s="54"/>
    </row>
    <row r="368" spans="2:7" ht="15.75" customHeight="1" x14ac:dyDescent="0.2">
      <c r="B368" s="54"/>
      <c r="C368" s="54"/>
      <c r="D368" s="54"/>
      <c r="E368" s="54"/>
      <c r="F368" s="54"/>
      <c r="G368" s="54"/>
    </row>
    <row r="369" spans="2:7" ht="15.75" customHeight="1" x14ac:dyDescent="0.2">
      <c r="B369" s="54"/>
      <c r="C369" s="54"/>
      <c r="D369" s="54"/>
      <c r="E369" s="54"/>
      <c r="F369" s="54"/>
      <c r="G369" s="54"/>
    </row>
    <row r="370" spans="2:7" ht="15.75" customHeight="1" x14ac:dyDescent="0.2">
      <c r="B370" s="54"/>
      <c r="C370" s="54"/>
      <c r="D370" s="54"/>
      <c r="E370" s="54"/>
      <c r="F370" s="54"/>
      <c r="G370" s="54"/>
    </row>
    <row r="371" spans="2:7" ht="15.75" customHeight="1" x14ac:dyDescent="0.2">
      <c r="B371" s="54"/>
      <c r="C371" s="54"/>
      <c r="D371" s="54"/>
      <c r="E371" s="54"/>
      <c r="F371" s="54"/>
      <c r="G371" s="54"/>
    </row>
    <row r="372" spans="2:7" ht="15.75" customHeight="1" x14ac:dyDescent="0.2">
      <c r="B372" s="54"/>
      <c r="C372" s="54"/>
      <c r="D372" s="54"/>
      <c r="E372" s="54"/>
      <c r="F372" s="54"/>
      <c r="G372" s="54"/>
    </row>
    <row r="373" spans="2:7" ht="15.75" customHeight="1" x14ac:dyDescent="0.2">
      <c r="B373" s="54"/>
      <c r="C373" s="54"/>
      <c r="D373" s="54"/>
      <c r="E373" s="54"/>
      <c r="F373" s="54"/>
      <c r="G373" s="54"/>
    </row>
    <row r="374" spans="2:7" ht="15.75" customHeight="1" x14ac:dyDescent="0.2">
      <c r="B374" s="54"/>
      <c r="C374" s="54"/>
      <c r="D374" s="54"/>
      <c r="E374" s="54"/>
      <c r="F374" s="54"/>
      <c r="G374" s="54"/>
    </row>
    <row r="375" spans="2:7" ht="15.75" customHeight="1" x14ac:dyDescent="0.2">
      <c r="B375" s="54"/>
      <c r="C375" s="54"/>
      <c r="D375" s="54"/>
      <c r="E375" s="54"/>
      <c r="F375" s="54"/>
      <c r="G375" s="54"/>
    </row>
    <row r="376" spans="2:7" ht="15.75" customHeight="1" x14ac:dyDescent="0.2">
      <c r="B376" s="54"/>
      <c r="C376" s="54"/>
      <c r="D376" s="54"/>
      <c r="E376" s="54"/>
      <c r="F376" s="54"/>
      <c r="G376" s="54"/>
    </row>
    <row r="377" spans="2:7" ht="15.75" customHeight="1" x14ac:dyDescent="0.2">
      <c r="B377" s="54"/>
      <c r="C377" s="54"/>
      <c r="D377" s="54"/>
      <c r="E377" s="54"/>
      <c r="F377" s="54"/>
      <c r="G377" s="54"/>
    </row>
    <row r="378" spans="2:7" ht="15.75" customHeight="1" x14ac:dyDescent="0.2">
      <c r="B378" s="54"/>
      <c r="C378" s="54"/>
      <c r="D378" s="54"/>
      <c r="E378" s="54"/>
      <c r="F378" s="54"/>
      <c r="G378" s="54"/>
    </row>
    <row r="379" spans="2:7" ht="15.75" customHeight="1" x14ac:dyDescent="0.2">
      <c r="B379" s="54"/>
      <c r="C379" s="54"/>
      <c r="D379" s="54"/>
      <c r="E379" s="54"/>
      <c r="F379" s="54"/>
      <c r="G379" s="54"/>
    </row>
    <row r="380" spans="2:7" ht="15.75" customHeight="1" x14ac:dyDescent="0.2">
      <c r="B380" s="54"/>
      <c r="C380" s="54"/>
      <c r="D380" s="54"/>
      <c r="E380" s="54"/>
      <c r="F380" s="54"/>
      <c r="G380" s="54"/>
    </row>
    <row r="381" spans="2:7" ht="15.75" customHeight="1" x14ac:dyDescent="0.2">
      <c r="B381" s="54"/>
      <c r="C381" s="54"/>
      <c r="D381" s="54"/>
      <c r="E381" s="54"/>
      <c r="F381" s="54"/>
      <c r="G381" s="54"/>
    </row>
    <row r="382" spans="2:7" ht="15.75" customHeight="1" x14ac:dyDescent="0.2">
      <c r="B382" s="54"/>
      <c r="C382" s="54"/>
      <c r="D382" s="54"/>
      <c r="E382" s="54"/>
      <c r="F382" s="54"/>
      <c r="G382" s="54"/>
    </row>
    <row r="383" spans="2:7" ht="15.75" customHeight="1" x14ac:dyDescent="0.2">
      <c r="B383" s="54"/>
      <c r="C383" s="54"/>
      <c r="D383" s="54"/>
      <c r="E383" s="54"/>
      <c r="F383" s="54"/>
      <c r="G383" s="54"/>
    </row>
    <row r="384" spans="2:7" ht="15.75" customHeight="1" x14ac:dyDescent="0.2">
      <c r="B384" s="54"/>
      <c r="C384" s="54"/>
      <c r="D384" s="54"/>
      <c r="E384" s="54"/>
      <c r="F384" s="54"/>
      <c r="G384" s="54"/>
    </row>
    <row r="385" spans="2:7" ht="15.75" customHeight="1" x14ac:dyDescent="0.2">
      <c r="B385" s="54"/>
      <c r="C385" s="54"/>
      <c r="D385" s="54"/>
      <c r="E385" s="54"/>
      <c r="F385" s="54"/>
      <c r="G385" s="54"/>
    </row>
    <row r="386" spans="2:7" ht="15.75" customHeight="1" x14ac:dyDescent="0.2">
      <c r="B386" s="54"/>
      <c r="C386" s="54"/>
      <c r="D386" s="54"/>
      <c r="E386" s="54"/>
      <c r="F386" s="54"/>
      <c r="G386" s="54"/>
    </row>
    <row r="387" spans="2:7" ht="15.75" customHeight="1" x14ac:dyDescent="0.2">
      <c r="B387" s="54"/>
      <c r="C387" s="54"/>
      <c r="D387" s="54"/>
      <c r="E387" s="54"/>
      <c r="F387" s="54"/>
      <c r="G387" s="54"/>
    </row>
    <row r="388" spans="2:7" ht="15.75" customHeight="1" x14ac:dyDescent="0.2">
      <c r="B388" s="54"/>
      <c r="C388" s="54"/>
      <c r="D388" s="54"/>
      <c r="E388" s="54"/>
      <c r="F388" s="54"/>
      <c r="G388" s="54"/>
    </row>
    <row r="389" spans="2:7" ht="15.75" customHeight="1" x14ac:dyDescent="0.2">
      <c r="B389" s="54"/>
      <c r="C389" s="54"/>
      <c r="D389" s="54"/>
      <c r="E389" s="54"/>
      <c r="F389" s="54"/>
      <c r="G389" s="54"/>
    </row>
    <row r="390" spans="2:7" ht="15.75" customHeight="1" x14ac:dyDescent="0.2">
      <c r="B390" s="54"/>
      <c r="C390" s="54"/>
      <c r="D390" s="54"/>
      <c r="E390" s="54"/>
      <c r="F390" s="54"/>
      <c r="G390" s="54"/>
    </row>
    <row r="391" spans="2:7" ht="15.75" customHeight="1" x14ac:dyDescent="0.2">
      <c r="B391" s="54"/>
      <c r="C391" s="54"/>
      <c r="D391" s="54"/>
      <c r="E391" s="54"/>
      <c r="F391" s="54"/>
      <c r="G391" s="54"/>
    </row>
    <row r="392" spans="2:7" ht="15.75" customHeight="1" x14ac:dyDescent="0.2">
      <c r="B392" s="54"/>
      <c r="C392" s="54"/>
      <c r="D392" s="54"/>
      <c r="E392" s="54"/>
      <c r="F392" s="54"/>
      <c r="G392" s="54"/>
    </row>
    <row r="393" spans="2:7" ht="15.75" customHeight="1" x14ac:dyDescent="0.2">
      <c r="B393" s="54"/>
      <c r="C393" s="54"/>
      <c r="D393" s="54"/>
      <c r="E393" s="54"/>
      <c r="F393" s="54"/>
      <c r="G393" s="54"/>
    </row>
    <row r="394" spans="2:7" ht="15.75" customHeight="1" x14ac:dyDescent="0.2">
      <c r="B394" s="54"/>
      <c r="C394" s="54"/>
      <c r="D394" s="54"/>
      <c r="E394" s="54"/>
      <c r="F394" s="54"/>
      <c r="G394" s="54"/>
    </row>
    <row r="395" spans="2:7" ht="15.75" customHeight="1" x14ac:dyDescent="0.2">
      <c r="B395" s="54"/>
      <c r="C395" s="54"/>
      <c r="D395" s="54"/>
      <c r="E395" s="54"/>
      <c r="F395" s="54"/>
      <c r="G395" s="54"/>
    </row>
    <row r="396" spans="2:7" ht="15.75" customHeight="1" x14ac:dyDescent="0.2">
      <c r="B396" s="54"/>
      <c r="C396" s="54"/>
      <c r="D396" s="54"/>
      <c r="E396" s="54"/>
      <c r="F396" s="54"/>
      <c r="G396" s="54"/>
    </row>
    <row r="397" spans="2:7" ht="15.75" customHeight="1" x14ac:dyDescent="0.2">
      <c r="B397" s="54"/>
      <c r="C397" s="54"/>
      <c r="D397" s="54"/>
      <c r="E397" s="54"/>
      <c r="F397" s="54"/>
      <c r="G397" s="54"/>
    </row>
    <row r="398" spans="2:7" ht="15.75" customHeight="1" x14ac:dyDescent="0.2">
      <c r="B398" s="54"/>
      <c r="C398" s="54"/>
      <c r="D398" s="54"/>
      <c r="E398" s="54"/>
      <c r="F398" s="54"/>
      <c r="G398" s="54"/>
    </row>
    <row r="399" spans="2:7" ht="15.75" customHeight="1" x14ac:dyDescent="0.2">
      <c r="B399" s="54"/>
      <c r="C399" s="54"/>
      <c r="D399" s="54"/>
      <c r="E399" s="54"/>
      <c r="F399" s="54"/>
      <c r="G399" s="54"/>
    </row>
    <row r="400" spans="2:7" ht="15.75" customHeight="1" x14ac:dyDescent="0.2">
      <c r="B400" s="54"/>
      <c r="C400" s="54"/>
      <c r="D400" s="54"/>
      <c r="E400" s="54"/>
      <c r="F400" s="54"/>
      <c r="G400" s="54"/>
    </row>
    <row r="401" spans="2:7" ht="15.75" customHeight="1" x14ac:dyDescent="0.2">
      <c r="B401" s="54"/>
      <c r="C401" s="54"/>
      <c r="D401" s="54"/>
      <c r="E401" s="54"/>
      <c r="F401" s="54"/>
      <c r="G401" s="54"/>
    </row>
    <row r="402" spans="2:7" ht="15.75" customHeight="1" x14ac:dyDescent="0.2">
      <c r="B402" s="54"/>
      <c r="C402" s="54"/>
      <c r="D402" s="54"/>
      <c r="E402" s="54"/>
      <c r="F402" s="54"/>
      <c r="G402" s="54"/>
    </row>
    <row r="403" spans="2:7" ht="15.75" customHeight="1" x14ac:dyDescent="0.2">
      <c r="B403" s="54"/>
      <c r="C403" s="54"/>
      <c r="D403" s="54"/>
      <c r="E403" s="54"/>
      <c r="F403" s="54"/>
      <c r="G403" s="54"/>
    </row>
    <row r="404" spans="2:7" ht="15.75" customHeight="1" x14ac:dyDescent="0.2">
      <c r="B404" s="54"/>
      <c r="C404" s="54"/>
      <c r="D404" s="54"/>
      <c r="E404" s="54"/>
      <c r="F404" s="54"/>
      <c r="G404" s="54"/>
    </row>
    <row r="405" spans="2:7" ht="15.75" customHeight="1" x14ac:dyDescent="0.2">
      <c r="B405" s="54"/>
      <c r="C405" s="54"/>
      <c r="D405" s="54"/>
      <c r="E405" s="54"/>
      <c r="F405" s="54"/>
      <c r="G405" s="54"/>
    </row>
    <row r="406" spans="2:7" ht="15.75" customHeight="1" x14ac:dyDescent="0.2">
      <c r="B406" s="54"/>
      <c r="C406" s="54"/>
      <c r="D406" s="54"/>
      <c r="E406" s="54"/>
      <c r="F406" s="54"/>
      <c r="G406" s="54"/>
    </row>
    <row r="407" spans="2:7" ht="15.75" customHeight="1" x14ac:dyDescent="0.2">
      <c r="B407" s="54"/>
      <c r="C407" s="54"/>
      <c r="D407" s="54"/>
      <c r="E407" s="54"/>
      <c r="F407" s="54"/>
      <c r="G407" s="54"/>
    </row>
    <row r="408" spans="2:7" ht="15.75" customHeight="1" x14ac:dyDescent="0.2">
      <c r="B408" s="54"/>
      <c r="C408" s="54"/>
      <c r="D408" s="54"/>
      <c r="E408" s="54"/>
      <c r="F408" s="54"/>
      <c r="G408" s="54"/>
    </row>
    <row r="409" spans="2:7" ht="15.75" customHeight="1" x14ac:dyDescent="0.2">
      <c r="B409" s="54"/>
      <c r="C409" s="54"/>
      <c r="D409" s="54"/>
      <c r="E409" s="54"/>
      <c r="F409" s="54"/>
      <c r="G409" s="54"/>
    </row>
    <row r="410" spans="2:7" ht="15.75" customHeight="1" x14ac:dyDescent="0.2">
      <c r="B410" s="54"/>
      <c r="C410" s="54"/>
      <c r="D410" s="54"/>
      <c r="E410" s="54"/>
      <c r="F410" s="54"/>
      <c r="G410" s="54"/>
    </row>
    <row r="411" spans="2:7" ht="15.75" customHeight="1" x14ac:dyDescent="0.2">
      <c r="B411" s="54"/>
      <c r="C411" s="54"/>
      <c r="D411" s="54"/>
      <c r="E411" s="54"/>
      <c r="F411" s="54"/>
      <c r="G411" s="54"/>
    </row>
    <row r="412" spans="2:7" ht="15.75" customHeight="1" x14ac:dyDescent="0.2">
      <c r="B412" s="54"/>
      <c r="C412" s="54"/>
      <c r="D412" s="54"/>
      <c r="E412" s="54"/>
      <c r="F412" s="54"/>
      <c r="G412" s="54"/>
    </row>
    <row r="413" spans="2:7" ht="15.75" customHeight="1" x14ac:dyDescent="0.2">
      <c r="B413" s="54"/>
      <c r="C413" s="54"/>
      <c r="D413" s="54"/>
      <c r="E413" s="54"/>
      <c r="F413" s="54"/>
      <c r="G413" s="54"/>
    </row>
    <row r="414" spans="2:7" ht="15.75" customHeight="1" x14ac:dyDescent="0.2">
      <c r="B414" s="54"/>
      <c r="C414" s="54"/>
      <c r="D414" s="54"/>
      <c r="E414" s="54"/>
      <c r="F414" s="54"/>
      <c r="G414" s="54"/>
    </row>
    <row r="415" spans="2:7" ht="15.75" customHeight="1" x14ac:dyDescent="0.2">
      <c r="B415" s="54"/>
      <c r="C415" s="54"/>
      <c r="D415" s="54"/>
      <c r="E415" s="54"/>
      <c r="F415" s="54"/>
      <c r="G415" s="54"/>
    </row>
    <row r="416" spans="2:7" ht="15.75" customHeight="1" x14ac:dyDescent="0.2">
      <c r="B416" s="54"/>
      <c r="C416" s="54"/>
      <c r="D416" s="54"/>
      <c r="E416" s="54"/>
      <c r="F416" s="54"/>
      <c r="G416" s="54"/>
    </row>
    <row r="417" spans="2:7" ht="15.75" customHeight="1" x14ac:dyDescent="0.2">
      <c r="B417" s="54"/>
      <c r="C417" s="54"/>
      <c r="D417" s="54"/>
      <c r="E417" s="54"/>
      <c r="F417" s="54"/>
      <c r="G417" s="54"/>
    </row>
    <row r="418" spans="2:7" ht="15.75" customHeight="1" x14ac:dyDescent="0.2">
      <c r="B418" s="54"/>
      <c r="C418" s="54"/>
      <c r="D418" s="54"/>
      <c r="E418" s="54"/>
      <c r="F418" s="54"/>
      <c r="G418" s="54"/>
    </row>
    <row r="419" spans="2:7" ht="15.75" customHeight="1" x14ac:dyDescent="0.2">
      <c r="B419" s="54"/>
      <c r="C419" s="54"/>
      <c r="D419" s="54"/>
      <c r="E419" s="54"/>
      <c r="F419" s="54"/>
      <c r="G419" s="54"/>
    </row>
    <row r="420" spans="2:7" ht="15.75" customHeight="1" x14ac:dyDescent="0.2">
      <c r="B420" s="54"/>
      <c r="C420" s="54"/>
      <c r="D420" s="54"/>
      <c r="E420" s="54"/>
      <c r="F420" s="54"/>
      <c r="G420" s="54"/>
    </row>
    <row r="421" spans="2:7" ht="15.75" customHeight="1" x14ac:dyDescent="0.2">
      <c r="B421" s="54"/>
      <c r="C421" s="54"/>
      <c r="D421" s="54"/>
      <c r="E421" s="54"/>
      <c r="F421" s="54"/>
      <c r="G421" s="54"/>
    </row>
    <row r="422" spans="2:7" ht="15.75" customHeight="1" x14ac:dyDescent="0.2">
      <c r="B422" s="54"/>
      <c r="C422" s="54"/>
      <c r="D422" s="54"/>
      <c r="E422" s="54"/>
      <c r="F422" s="54"/>
      <c r="G422" s="54"/>
    </row>
    <row r="423" spans="2:7" ht="15.75" customHeight="1" x14ac:dyDescent="0.2">
      <c r="B423" s="54"/>
      <c r="C423" s="54"/>
      <c r="D423" s="54"/>
      <c r="E423" s="54"/>
      <c r="F423" s="54"/>
      <c r="G423" s="54"/>
    </row>
    <row r="424" spans="2:7" ht="15.75" customHeight="1" x14ac:dyDescent="0.2">
      <c r="B424" s="54"/>
      <c r="C424" s="54"/>
      <c r="D424" s="54"/>
      <c r="E424" s="54"/>
      <c r="F424" s="54"/>
      <c r="G424" s="54"/>
    </row>
    <row r="425" spans="2:7" ht="15.75" customHeight="1" x14ac:dyDescent="0.2">
      <c r="B425" s="54"/>
      <c r="C425" s="54"/>
      <c r="D425" s="54"/>
      <c r="E425" s="54"/>
      <c r="F425" s="54"/>
      <c r="G425" s="54"/>
    </row>
    <row r="426" spans="2:7" ht="15.75" customHeight="1" x14ac:dyDescent="0.2">
      <c r="B426" s="54"/>
      <c r="C426" s="54"/>
      <c r="D426" s="54"/>
      <c r="E426" s="54"/>
      <c r="F426" s="54"/>
      <c r="G426" s="54"/>
    </row>
    <row r="427" spans="2:7" ht="15.75" customHeight="1" x14ac:dyDescent="0.2">
      <c r="B427" s="54"/>
      <c r="C427" s="54"/>
      <c r="D427" s="54"/>
      <c r="E427" s="54"/>
      <c r="F427" s="54"/>
      <c r="G427" s="54"/>
    </row>
    <row r="428" spans="2:7" ht="15.75" customHeight="1" x14ac:dyDescent="0.2">
      <c r="B428" s="54"/>
      <c r="C428" s="54"/>
      <c r="D428" s="54"/>
      <c r="E428" s="54"/>
      <c r="F428" s="54"/>
      <c r="G428" s="54"/>
    </row>
    <row r="429" spans="2:7" ht="15.75" customHeight="1" x14ac:dyDescent="0.2">
      <c r="B429" s="54"/>
      <c r="C429" s="54"/>
      <c r="D429" s="54"/>
      <c r="E429" s="54"/>
      <c r="F429" s="54"/>
      <c r="G429" s="54"/>
    </row>
    <row r="430" spans="2:7" ht="15.75" customHeight="1" x14ac:dyDescent="0.2">
      <c r="B430" s="54"/>
      <c r="C430" s="54"/>
      <c r="D430" s="54"/>
      <c r="E430" s="54"/>
      <c r="F430" s="54"/>
      <c r="G430" s="54"/>
    </row>
    <row r="431" spans="2:7" ht="15.75" customHeight="1" x14ac:dyDescent="0.2">
      <c r="B431" s="54"/>
      <c r="C431" s="54"/>
      <c r="D431" s="54"/>
      <c r="E431" s="54"/>
      <c r="F431" s="54"/>
      <c r="G431" s="54"/>
    </row>
    <row r="432" spans="2:7" ht="15.75" customHeight="1" x14ac:dyDescent="0.2">
      <c r="B432" s="54"/>
      <c r="C432" s="54"/>
      <c r="D432" s="54"/>
      <c r="E432" s="54"/>
      <c r="F432" s="54"/>
      <c r="G432" s="54"/>
    </row>
    <row r="433" spans="2:7" ht="15.75" customHeight="1" x14ac:dyDescent="0.2">
      <c r="B433" s="54"/>
      <c r="C433" s="54"/>
      <c r="D433" s="54"/>
      <c r="E433" s="54"/>
      <c r="F433" s="54"/>
      <c r="G433" s="54"/>
    </row>
    <row r="434" spans="2:7" ht="15.75" customHeight="1" x14ac:dyDescent="0.2">
      <c r="B434" s="54"/>
      <c r="C434" s="54"/>
      <c r="D434" s="54"/>
      <c r="E434" s="54"/>
      <c r="F434" s="54"/>
      <c r="G434" s="54"/>
    </row>
    <row r="435" spans="2:7" ht="15.75" customHeight="1" x14ac:dyDescent="0.2">
      <c r="B435" s="54"/>
      <c r="C435" s="54"/>
      <c r="D435" s="54"/>
      <c r="E435" s="54"/>
      <c r="F435" s="54"/>
      <c r="G435" s="54"/>
    </row>
    <row r="436" spans="2:7" ht="15.75" customHeight="1" x14ac:dyDescent="0.2">
      <c r="B436" s="54"/>
      <c r="C436" s="54"/>
      <c r="D436" s="54"/>
      <c r="E436" s="54"/>
      <c r="F436" s="54"/>
      <c r="G436" s="54"/>
    </row>
    <row r="437" spans="2:7" ht="15.75" customHeight="1" x14ac:dyDescent="0.2">
      <c r="B437" s="54"/>
      <c r="C437" s="54"/>
      <c r="D437" s="54"/>
      <c r="E437" s="54"/>
      <c r="F437" s="54"/>
      <c r="G437" s="54"/>
    </row>
    <row r="438" spans="2:7" ht="15.75" customHeight="1" x14ac:dyDescent="0.2">
      <c r="B438" s="54"/>
      <c r="C438" s="54"/>
      <c r="D438" s="54"/>
      <c r="E438" s="54"/>
      <c r="F438" s="54"/>
      <c r="G438" s="54"/>
    </row>
    <row r="439" spans="2:7" ht="15.75" customHeight="1" x14ac:dyDescent="0.2">
      <c r="B439" s="54"/>
      <c r="C439" s="54"/>
      <c r="D439" s="54"/>
      <c r="E439" s="54"/>
      <c r="F439" s="54"/>
      <c r="G439" s="54"/>
    </row>
    <row r="440" spans="2:7" ht="15.75" customHeight="1" x14ac:dyDescent="0.2">
      <c r="B440" s="54"/>
      <c r="C440" s="54"/>
      <c r="D440" s="54"/>
      <c r="E440" s="54"/>
      <c r="F440" s="54"/>
      <c r="G440" s="54"/>
    </row>
    <row r="441" spans="2:7" ht="15.75" customHeight="1" x14ac:dyDescent="0.2">
      <c r="B441" s="54"/>
      <c r="C441" s="54"/>
      <c r="D441" s="54"/>
      <c r="E441" s="54"/>
      <c r="F441" s="54"/>
      <c r="G441" s="54"/>
    </row>
    <row r="442" spans="2:7" ht="15.75" customHeight="1" x14ac:dyDescent="0.2">
      <c r="B442" s="54"/>
      <c r="C442" s="54"/>
      <c r="D442" s="54"/>
      <c r="E442" s="54"/>
      <c r="F442" s="54"/>
      <c r="G442" s="54"/>
    </row>
    <row r="443" spans="2:7" ht="15.75" customHeight="1" x14ac:dyDescent="0.2">
      <c r="B443" s="54"/>
      <c r="C443" s="54"/>
      <c r="D443" s="54"/>
      <c r="E443" s="54"/>
      <c r="F443" s="54"/>
      <c r="G443" s="54"/>
    </row>
    <row r="444" spans="2:7" ht="15.75" customHeight="1" x14ac:dyDescent="0.2">
      <c r="B444" s="54"/>
      <c r="C444" s="54"/>
      <c r="D444" s="54"/>
      <c r="E444" s="54"/>
      <c r="F444" s="54"/>
      <c r="G444" s="54"/>
    </row>
    <row r="445" spans="2:7" ht="15.75" customHeight="1" x14ac:dyDescent="0.2">
      <c r="B445" s="54"/>
      <c r="C445" s="54"/>
      <c r="D445" s="54"/>
      <c r="E445" s="54"/>
      <c r="F445" s="54"/>
      <c r="G445" s="54"/>
    </row>
    <row r="446" spans="2:7" ht="15.75" customHeight="1" x14ac:dyDescent="0.2">
      <c r="B446" s="54"/>
      <c r="C446" s="54"/>
      <c r="D446" s="54"/>
      <c r="E446" s="54"/>
      <c r="F446" s="54"/>
      <c r="G446" s="54"/>
    </row>
    <row r="447" spans="2:7" ht="15.75" customHeight="1" x14ac:dyDescent="0.2">
      <c r="B447" s="54"/>
      <c r="C447" s="54"/>
      <c r="D447" s="54"/>
      <c r="E447" s="54"/>
      <c r="F447" s="54"/>
      <c r="G447" s="54"/>
    </row>
    <row r="448" spans="2:7" ht="15.75" customHeight="1" x14ac:dyDescent="0.2">
      <c r="B448" s="54"/>
      <c r="C448" s="54"/>
      <c r="D448" s="54"/>
      <c r="E448" s="54"/>
      <c r="F448" s="54"/>
      <c r="G448" s="54"/>
    </row>
    <row r="449" spans="2:7" ht="15.75" customHeight="1" x14ac:dyDescent="0.2">
      <c r="B449" s="54"/>
      <c r="C449" s="54"/>
      <c r="D449" s="54"/>
      <c r="E449" s="54"/>
      <c r="F449" s="54"/>
      <c r="G449" s="54"/>
    </row>
    <row r="450" spans="2:7" ht="15.75" customHeight="1" x14ac:dyDescent="0.2">
      <c r="B450" s="54"/>
      <c r="C450" s="54"/>
      <c r="D450" s="54"/>
      <c r="E450" s="54"/>
      <c r="F450" s="54"/>
      <c r="G450" s="54"/>
    </row>
    <row r="451" spans="2:7" ht="15.75" customHeight="1" x14ac:dyDescent="0.2">
      <c r="B451" s="54"/>
      <c r="C451" s="54"/>
      <c r="D451" s="54"/>
      <c r="E451" s="54"/>
      <c r="F451" s="54"/>
      <c r="G451" s="54"/>
    </row>
    <row r="452" spans="2:7" ht="15.75" customHeight="1" x14ac:dyDescent="0.2">
      <c r="B452" s="54"/>
      <c r="C452" s="54"/>
      <c r="D452" s="54"/>
      <c r="E452" s="54"/>
      <c r="F452" s="54"/>
      <c r="G452" s="54"/>
    </row>
    <row r="453" spans="2:7" ht="15.75" customHeight="1" x14ac:dyDescent="0.2">
      <c r="B453" s="54"/>
      <c r="C453" s="54"/>
      <c r="D453" s="54"/>
      <c r="E453" s="54"/>
      <c r="F453" s="54"/>
      <c r="G453" s="54"/>
    </row>
    <row r="454" spans="2:7" ht="15.75" customHeight="1" x14ac:dyDescent="0.2">
      <c r="B454" s="54"/>
      <c r="C454" s="54"/>
      <c r="D454" s="54"/>
      <c r="E454" s="54"/>
      <c r="F454" s="54"/>
      <c r="G454" s="54"/>
    </row>
    <row r="455" spans="2:7" ht="15.75" customHeight="1" x14ac:dyDescent="0.2">
      <c r="B455" s="54"/>
      <c r="C455" s="54"/>
      <c r="D455" s="54"/>
      <c r="E455" s="54"/>
      <c r="F455" s="54"/>
      <c r="G455" s="54"/>
    </row>
    <row r="456" spans="2:7" ht="15.75" customHeight="1" x14ac:dyDescent="0.2">
      <c r="B456" s="54"/>
      <c r="C456" s="54"/>
      <c r="D456" s="54"/>
      <c r="E456" s="54"/>
      <c r="F456" s="54"/>
      <c r="G456" s="54"/>
    </row>
    <row r="457" spans="2:7" ht="15.75" customHeight="1" x14ac:dyDescent="0.2">
      <c r="B457" s="54"/>
      <c r="C457" s="54"/>
      <c r="D457" s="54"/>
      <c r="E457" s="54"/>
      <c r="F457" s="54"/>
      <c r="G457" s="54"/>
    </row>
    <row r="458" spans="2:7" ht="15.75" customHeight="1" x14ac:dyDescent="0.2">
      <c r="B458" s="54"/>
      <c r="C458" s="54"/>
      <c r="D458" s="54"/>
      <c r="E458" s="54"/>
      <c r="F458" s="54"/>
      <c r="G458" s="54"/>
    </row>
    <row r="459" spans="2:7" ht="15.75" customHeight="1" x14ac:dyDescent="0.2">
      <c r="B459" s="54"/>
      <c r="C459" s="54"/>
      <c r="D459" s="54"/>
      <c r="E459" s="54"/>
      <c r="F459" s="54"/>
      <c r="G459" s="54"/>
    </row>
    <row r="460" spans="2:7" ht="15.75" customHeight="1" x14ac:dyDescent="0.2">
      <c r="B460" s="54"/>
      <c r="C460" s="54"/>
      <c r="D460" s="54"/>
      <c r="E460" s="54"/>
      <c r="F460" s="54"/>
      <c r="G460" s="54"/>
    </row>
    <row r="461" spans="2:7" ht="15.75" customHeight="1" x14ac:dyDescent="0.2">
      <c r="B461" s="54"/>
      <c r="C461" s="54"/>
      <c r="D461" s="54"/>
      <c r="E461" s="54"/>
      <c r="F461" s="54"/>
      <c r="G461" s="54"/>
    </row>
    <row r="462" spans="2:7" ht="15.75" customHeight="1" x14ac:dyDescent="0.2">
      <c r="B462" s="54"/>
      <c r="C462" s="54"/>
      <c r="D462" s="54"/>
      <c r="E462" s="54"/>
      <c r="F462" s="54"/>
      <c r="G462" s="54"/>
    </row>
    <row r="463" spans="2:7" ht="15.75" customHeight="1" x14ac:dyDescent="0.2">
      <c r="B463" s="54"/>
      <c r="C463" s="54"/>
      <c r="D463" s="54"/>
      <c r="E463" s="54"/>
      <c r="F463" s="54"/>
      <c r="G463" s="54"/>
    </row>
    <row r="464" spans="2:7" ht="15.75" customHeight="1" x14ac:dyDescent="0.2">
      <c r="B464" s="54"/>
      <c r="C464" s="54"/>
      <c r="D464" s="54"/>
      <c r="E464" s="54"/>
      <c r="F464" s="54"/>
      <c r="G464" s="54"/>
    </row>
    <row r="465" spans="2:7" ht="15.75" customHeight="1" x14ac:dyDescent="0.2">
      <c r="B465" s="54"/>
      <c r="C465" s="54"/>
      <c r="D465" s="54"/>
      <c r="E465" s="54"/>
      <c r="F465" s="54"/>
      <c r="G465" s="54"/>
    </row>
    <row r="466" spans="2:7" ht="15.75" customHeight="1" x14ac:dyDescent="0.2">
      <c r="B466" s="54"/>
      <c r="C466" s="54"/>
      <c r="D466" s="54"/>
      <c r="E466" s="54"/>
      <c r="F466" s="54"/>
      <c r="G466" s="54"/>
    </row>
    <row r="467" spans="2:7" ht="15.75" customHeight="1" x14ac:dyDescent="0.2">
      <c r="B467" s="54"/>
      <c r="C467" s="54"/>
      <c r="D467" s="54"/>
      <c r="E467" s="54"/>
      <c r="F467" s="54"/>
      <c r="G467" s="54"/>
    </row>
    <row r="468" spans="2:7" ht="15.75" customHeight="1" x14ac:dyDescent="0.2">
      <c r="B468" s="54"/>
      <c r="C468" s="54"/>
      <c r="D468" s="54"/>
      <c r="E468" s="54"/>
      <c r="F468" s="54"/>
      <c r="G468" s="54"/>
    </row>
    <row r="469" spans="2:7" ht="15.75" customHeight="1" x14ac:dyDescent="0.2">
      <c r="B469" s="54"/>
      <c r="C469" s="54"/>
      <c r="D469" s="54"/>
      <c r="E469" s="54"/>
      <c r="F469" s="54"/>
      <c r="G469" s="54"/>
    </row>
    <row r="470" spans="2:7" ht="15.75" customHeight="1" x14ac:dyDescent="0.2">
      <c r="B470" s="54"/>
      <c r="C470" s="54"/>
      <c r="D470" s="54"/>
      <c r="E470" s="54"/>
      <c r="F470" s="54"/>
      <c r="G470" s="54"/>
    </row>
    <row r="471" spans="2:7" ht="15.75" customHeight="1" x14ac:dyDescent="0.2">
      <c r="B471" s="54"/>
      <c r="C471" s="54"/>
      <c r="D471" s="54"/>
      <c r="E471" s="54"/>
      <c r="F471" s="54"/>
      <c r="G471" s="54"/>
    </row>
    <row r="472" spans="2:7" ht="15.75" customHeight="1" x14ac:dyDescent="0.2">
      <c r="B472" s="54"/>
      <c r="C472" s="54"/>
      <c r="D472" s="54"/>
      <c r="E472" s="54"/>
      <c r="F472" s="54"/>
      <c r="G472" s="54"/>
    </row>
    <row r="473" spans="2:7" ht="15.75" customHeight="1" x14ac:dyDescent="0.2">
      <c r="B473" s="54"/>
      <c r="C473" s="54"/>
      <c r="D473" s="54"/>
      <c r="E473" s="54"/>
      <c r="F473" s="54"/>
      <c r="G473" s="54"/>
    </row>
    <row r="474" spans="2:7" ht="15.75" customHeight="1" x14ac:dyDescent="0.2">
      <c r="B474" s="54"/>
      <c r="C474" s="54"/>
      <c r="D474" s="54"/>
      <c r="E474" s="54"/>
      <c r="F474" s="54"/>
      <c r="G474" s="54"/>
    </row>
    <row r="475" spans="2:7" ht="15.75" customHeight="1" x14ac:dyDescent="0.2">
      <c r="B475" s="54"/>
      <c r="C475" s="54"/>
      <c r="D475" s="54"/>
      <c r="E475" s="54"/>
      <c r="F475" s="54"/>
      <c r="G475" s="54"/>
    </row>
    <row r="476" spans="2:7" ht="15.75" customHeight="1" x14ac:dyDescent="0.2">
      <c r="B476" s="54"/>
      <c r="C476" s="54"/>
      <c r="D476" s="54"/>
      <c r="E476" s="54"/>
      <c r="F476" s="54"/>
      <c r="G476" s="54"/>
    </row>
    <row r="477" spans="2:7" ht="15.75" customHeight="1" x14ac:dyDescent="0.2">
      <c r="B477" s="54"/>
      <c r="C477" s="54"/>
      <c r="D477" s="54"/>
      <c r="E477" s="54"/>
      <c r="F477" s="54"/>
      <c r="G477" s="54"/>
    </row>
    <row r="478" spans="2:7" ht="15.75" customHeight="1" x14ac:dyDescent="0.2">
      <c r="B478" s="54"/>
      <c r="C478" s="54"/>
      <c r="D478" s="54"/>
      <c r="E478" s="54"/>
      <c r="F478" s="54"/>
      <c r="G478" s="54"/>
    </row>
    <row r="479" spans="2:7" ht="15.75" customHeight="1" x14ac:dyDescent="0.2">
      <c r="B479" s="54"/>
      <c r="C479" s="54"/>
      <c r="D479" s="54"/>
      <c r="E479" s="54"/>
      <c r="F479" s="54"/>
      <c r="G479" s="54"/>
    </row>
    <row r="480" spans="2:7" ht="15.75" customHeight="1" x14ac:dyDescent="0.2">
      <c r="B480" s="54"/>
      <c r="C480" s="54"/>
      <c r="D480" s="54"/>
      <c r="E480" s="54"/>
      <c r="F480" s="54"/>
      <c r="G480" s="54"/>
    </row>
    <row r="481" spans="2:7" ht="15.75" customHeight="1" x14ac:dyDescent="0.2">
      <c r="B481" s="54"/>
      <c r="C481" s="54"/>
      <c r="D481" s="54"/>
      <c r="E481" s="54"/>
      <c r="F481" s="54"/>
      <c r="G481" s="54"/>
    </row>
    <row r="482" spans="2:7" ht="15.75" customHeight="1" x14ac:dyDescent="0.2">
      <c r="B482" s="54"/>
      <c r="C482" s="54"/>
      <c r="D482" s="54"/>
      <c r="E482" s="54"/>
      <c r="F482" s="54"/>
      <c r="G482" s="54"/>
    </row>
    <row r="483" spans="2:7" ht="15.75" customHeight="1" x14ac:dyDescent="0.2">
      <c r="B483" s="54"/>
      <c r="C483" s="54"/>
      <c r="D483" s="54"/>
      <c r="E483" s="54"/>
      <c r="F483" s="54"/>
      <c r="G483" s="54"/>
    </row>
    <row r="484" spans="2:7" ht="15.75" customHeight="1" x14ac:dyDescent="0.2">
      <c r="B484" s="54"/>
      <c r="C484" s="54"/>
      <c r="D484" s="54"/>
      <c r="E484" s="54"/>
      <c r="F484" s="54"/>
      <c r="G484" s="54"/>
    </row>
    <row r="485" spans="2:7" ht="15.75" customHeight="1" x14ac:dyDescent="0.2">
      <c r="B485" s="54"/>
      <c r="C485" s="54"/>
      <c r="D485" s="54"/>
      <c r="E485" s="54"/>
      <c r="F485" s="54"/>
      <c r="G485" s="54"/>
    </row>
    <row r="486" spans="2:7" ht="15.75" customHeight="1" x14ac:dyDescent="0.2">
      <c r="B486" s="54"/>
      <c r="C486" s="54"/>
      <c r="D486" s="54"/>
      <c r="E486" s="54"/>
      <c r="F486" s="54"/>
      <c r="G486" s="54"/>
    </row>
    <row r="487" spans="2:7" ht="15.75" customHeight="1" x14ac:dyDescent="0.2">
      <c r="B487" s="54"/>
      <c r="C487" s="54"/>
      <c r="D487" s="54"/>
      <c r="E487" s="54"/>
      <c r="F487" s="54"/>
      <c r="G487" s="54"/>
    </row>
    <row r="488" spans="2:7" ht="15.75" customHeight="1" x14ac:dyDescent="0.2">
      <c r="B488" s="54"/>
      <c r="C488" s="54"/>
      <c r="D488" s="54"/>
      <c r="E488" s="54"/>
      <c r="F488" s="54"/>
      <c r="G488" s="54"/>
    </row>
    <row r="489" spans="2:7" ht="15.75" customHeight="1" x14ac:dyDescent="0.2">
      <c r="B489" s="54"/>
      <c r="C489" s="54"/>
      <c r="D489" s="54"/>
      <c r="E489" s="54"/>
      <c r="F489" s="54"/>
      <c r="G489" s="54"/>
    </row>
    <row r="490" spans="2:7" ht="15.75" customHeight="1" x14ac:dyDescent="0.2">
      <c r="B490" s="54"/>
      <c r="C490" s="54"/>
      <c r="D490" s="54"/>
      <c r="E490" s="54"/>
      <c r="F490" s="54"/>
      <c r="G490" s="54"/>
    </row>
    <row r="491" spans="2:7" ht="15.75" customHeight="1" x14ac:dyDescent="0.2">
      <c r="B491" s="54"/>
      <c r="C491" s="54"/>
      <c r="D491" s="54"/>
      <c r="E491" s="54"/>
      <c r="F491" s="54"/>
      <c r="G491" s="54"/>
    </row>
    <row r="492" spans="2:7" ht="15.75" customHeight="1" x14ac:dyDescent="0.2">
      <c r="B492" s="54"/>
      <c r="C492" s="54"/>
      <c r="D492" s="54"/>
      <c r="E492" s="54"/>
      <c r="F492" s="54"/>
      <c r="G492" s="54"/>
    </row>
    <row r="493" spans="2:7" ht="15.75" customHeight="1" x14ac:dyDescent="0.2">
      <c r="B493" s="54"/>
      <c r="C493" s="54"/>
      <c r="D493" s="54"/>
      <c r="E493" s="54"/>
      <c r="F493" s="54"/>
      <c r="G493" s="54"/>
    </row>
    <row r="494" spans="2:7" ht="15.75" customHeight="1" x14ac:dyDescent="0.2">
      <c r="B494" s="54"/>
      <c r="C494" s="54"/>
      <c r="D494" s="54"/>
      <c r="E494" s="54"/>
      <c r="F494" s="54"/>
      <c r="G494" s="54"/>
    </row>
    <row r="495" spans="2:7" ht="15.75" customHeight="1" x14ac:dyDescent="0.2">
      <c r="B495" s="54"/>
      <c r="C495" s="54"/>
      <c r="D495" s="54"/>
      <c r="E495" s="54"/>
      <c r="F495" s="54"/>
      <c r="G495" s="54"/>
    </row>
    <row r="496" spans="2:7" ht="15.75" customHeight="1" x14ac:dyDescent="0.2">
      <c r="B496" s="54"/>
      <c r="C496" s="54"/>
      <c r="D496" s="54"/>
      <c r="E496" s="54"/>
      <c r="F496" s="54"/>
      <c r="G496" s="54"/>
    </row>
    <row r="497" spans="2:7" ht="15.75" customHeight="1" x14ac:dyDescent="0.2">
      <c r="B497" s="54"/>
      <c r="C497" s="54"/>
      <c r="D497" s="54"/>
      <c r="E497" s="54"/>
      <c r="F497" s="54"/>
      <c r="G497" s="54"/>
    </row>
    <row r="498" spans="2:7" ht="15.75" customHeight="1" x14ac:dyDescent="0.2">
      <c r="B498" s="54"/>
      <c r="C498" s="54"/>
      <c r="D498" s="54"/>
      <c r="E498" s="54"/>
      <c r="F498" s="54"/>
      <c r="G498" s="54"/>
    </row>
    <row r="499" spans="2:7" ht="15.75" customHeight="1" x14ac:dyDescent="0.2">
      <c r="B499" s="54"/>
      <c r="C499" s="54"/>
      <c r="D499" s="54"/>
      <c r="E499" s="54"/>
      <c r="F499" s="54"/>
      <c r="G499" s="54"/>
    </row>
    <row r="500" spans="2:7" ht="15.75" customHeight="1" x14ac:dyDescent="0.2">
      <c r="B500" s="54"/>
      <c r="C500" s="54"/>
      <c r="D500" s="54"/>
      <c r="E500" s="54"/>
      <c r="F500" s="54"/>
      <c r="G500" s="54"/>
    </row>
    <row r="501" spans="2:7" ht="15.75" customHeight="1" x14ac:dyDescent="0.2">
      <c r="B501" s="54"/>
      <c r="C501" s="54"/>
      <c r="D501" s="54"/>
      <c r="E501" s="54"/>
      <c r="F501" s="54"/>
      <c r="G501" s="54"/>
    </row>
    <row r="502" spans="2:7" ht="15.75" customHeight="1" x14ac:dyDescent="0.2">
      <c r="B502" s="54"/>
      <c r="C502" s="54"/>
      <c r="D502" s="54"/>
      <c r="E502" s="54"/>
      <c r="F502" s="54"/>
      <c r="G502" s="54"/>
    </row>
    <row r="503" spans="2:7" ht="15.75" customHeight="1" x14ac:dyDescent="0.2">
      <c r="B503" s="54"/>
      <c r="C503" s="54"/>
      <c r="D503" s="54"/>
      <c r="E503" s="54"/>
      <c r="F503" s="54"/>
      <c r="G503" s="54"/>
    </row>
    <row r="504" spans="2:7" ht="15.75" customHeight="1" x14ac:dyDescent="0.2">
      <c r="B504" s="54"/>
      <c r="C504" s="54"/>
      <c r="D504" s="54"/>
      <c r="E504" s="54"/>
      <c r="F504" s="54"/>
      <c r="G504" s="54"/>
    </row>
    <row r="505" spans="2:7" ht="15.75" customHeight="1" x14ac:dyDescent="0.2">
      <c r="B505" s="54"/>
      <c r="C505" s="54"/>
      <c r="D505" s="54"/>
      <c r="E505" s="54"/>
      <c r="F505" s="54"/>
      <c r="G505" s="54"/>
    </row>
    <row r="506" spans="2:7" ht="15.75" customHeight="1" x14ac:dyDescent="0.2">
      <c r="B506" s="54"/>
      <c r="C506" s="54"/>
      <c r="D506" s="54"/>
      <c r="E506" s="54"/>
      <c r="F506" s="54"/>
      <c r="G506" s="54"/>
    </row>
    <row r="507" spans="2:7" ht="15.75" customHeight="1" x14ac:dyDescent="0.2">
      <c r="B507" s="54"/>
      <c r="C507" s="54"/>
      <c r="D507" s="54"/>
      <c r="E507" s="54"/>
      <c r="F507" s="54"/>
      <c r="G507" s="54"/>
    </row>
    <row r="508" spans="2:7" ht="15.75" customHeight="1" x14ac:dyDescent="0.2">
      <c r="B508" s="54"/>
      <c r="C508" s="54"/>
      <c r="D508" s="54"/>
      <c r="E508" s="54"/>
      <c r="F508" s="54"/>
      <c r="G508" s="54"/>
    </row>
    <row r="509" spans="2:7" ht="15.75" customHeight="1" x14ac:dyDescent="0.2">
      <c r="B509" s="54"/>
      <c r="C509" s="54"/>
      <c r="D509" s="54"/>
      <c r="E509" s="54"/>
      <c r="F509" s="54"/>
      <c r="G509" s="54"/>
    </row>
    <row r="510" spans="2:7" ht="15.75" customHeight="1" x14ac:dyDescent="0.2">
      <c r="B510" s="54"/>
      <c r="C510" s="54"/>
      <c r="D510" s="54"/>
      <c r="E510" s="54"/>
      <c r="F510" s="54"/>
      <c r="G510" s="54"/>
    </row>
    <row r="511" spans="2:7" ht="15.75" customHeight="1" x14ac:dyDescent="0.2">
      <c r="B511" s="54"/>
      <c r="C511" s="54"/>
      <c r="D511" s="54"/>
      <c r="E511" s="54"/>
      <c r="F511" s="54"/>
      <c r="G511" s="54"/>
    </row>
    <row r="512" spans="2:7" ht="15.75" customHeight="1" x14ac:dyDescent="0.2">
      <c r="B512" s="54"/>
      <c r="C512" s="54"/>
      <c r="D512" s="54"/>
      <c r="E512" s="54"/>
      <c r="F512" s="54"/>
      <c r="G512" s="54"/>
    </row>
    <row r="513" spans="2:7" ht="15.75" customHeight="1" x14ac:dyDescent="0.2">
      <c r="B513" s="54"/>
      <c r="C513" s="54"/>
      <c r="D513" s="54"/>
      <c r="E513" s="54"/>
      <c r="F513" s="54"/>
      <c r="G513" s="54"/>
    </row>
    <row r="514" spans="2:7" ht="15.75" customHeight="1" x14ac:dyDescent="0.2">
      <c r="B514" s="54"/>
      <c r="C514" s="54"/>
      <c r="D514" s="54"/>
      <c r="E514" s="54"/>
      <c r="F514" s="54"/>
      <c r="G514" s="54"/>
    </row>
    <row r="515" spans="2:7" ht="15.75" customHeight="1" x14ac:dyDescent="0.2">
      <c r="B515" s="54"/>
      <c r="C515" s="54"/>
      <c r="D515" s="54"/>
      <c r="E515" s="54"/>
      <c r="F515" s="54"/>
      <c r="G515" s="54"/>
    </row>
    <row r="516" spans="2:7" ht="15.75" customHeight="1" x14ac:dyDescent="0.2">
      <c r="B516" s="54"/>
      <c r="C516" s="54"/>
      <c r="D516" s="54"/>
      <c r="E516" s="54"/>
      <c r="F516" s="54"/>
      <c r="G516" s="54"/>
    </row>
    <row r="517" spans="2:7" ht="15.75" customHeight="1" x14ac:dyDescent="0.2">
      <c r="B517" s="54"/>
      <c r="C517" s="54"/>
      <c r="D517" s="54"/>
      <c r="E517" s="54"/>
      <c r="F517" s="54"/>
      <c r="G517" s="54"/>
    </row>
    <row r="518" spans="2:7" ht="15.75" customHeight="1" x14ac:dyDescent="0.2">
      <c r="B518" s="54"/>
      <c r="C518" s="54"/>
      <c r="D518" s="54"/>
      <c r="E518" s="54"/>
      <c r="F518" s="54"/>
      <c r="G518" s="54"/>
    </row>
    <row r="519" spans="2:7" ht="15.75" customHeight="1" x14ac:dyDescent="0.2">
      <c r="B519" s="54"/>
      <c r="C519" s="54"/>
      <c r="D519" s="54"/>
      <c r="E519" s="54"/>
      <c r="F519" s="54"/>
      <c r="G519" s="54"/>
    </row>
    <row r="520" spans="2:7" ht="15.75" customHeight="1" x14ac:dyDescent="0.2">
      <c r="B520" s="54"/>
      <c r="C520" s="54"/>
      <c r="D520" s="54"/>
      <c r="E520" s="54"/>
      <c r="F520" s="54"/>
      <c r="G520" s="54"/>
    </row>
    <row r="521" spans="2:7" ht="15.75" customHeight="1" x14ac:dyDescent="0.2">
      <c r="B521" s="54"/>
      <c r="C521" s="54"/>
      <c r="D521" s="54"/>
      <c r="E521" s="54"/>
      <c r="F521" s="54"/>
      <c r="G521" s="54"/>
    </row>
    <row r="522" spans="2:7" ht="15.75" customHeight="1" x14ac:dyDescent="0.2">
      <c r="B522" s="54"/>
      <c r="C522" s="54"/>
      <c r="D522" s="54"/>
      <c r="E522" s="54"/>
      <c r="F522" s="54"/>
      <c r="G522" s="54"/>
    </row>
    <row r="523" spans="2:7" ht="15.75" customHeight="1" x14ac:dyDescent="0.2">
      <c r="B523" s="54"/>
      <c r="C523" s="54"/>
      <c r="D523" s="54"/>
      <c r="E523" s="54"/>
      <c r="F523" s="54"/>
      <c r="G523" s="54"/>
    </row>
    <row r="524" spans="2:7" ht="15.75" customHeight="1" x14ac:dyDescent="0.2">
      <c r="B524" s="54"/>
      <c r="C524" s="54"/>
      <c r="D524" s="54"/>
      <c r="E524" s="54"/>
      <c r="F524" s="54"/>
      <c r="G524" s="54"/>
    </row>
    <row r="525" spans="2:7" ht="15.75" customHeight="1" x14ac:dyDescent="0.2">
      <c r="B525" s="54"/>
      <c r="C525" s="54"/>
      <c r="D525" s="54"/>
      <c r="E525" s="54"/>
      <c r="F525" s="54"/>
      <c r="G525" s="54"/>
    </row>
    <row r="526" spans="2:7" ht="15.75" customHeight="1" x14ac:dyDescent="0.2">
      <c r="B526" s="54"/>
      <c r="C526" s="54"/>
      <c r="D526" s="54"/>
      <c r="E526" s="54"/>
      <c r="F526" s="54"/>
      <c r="G526" s="54"/>
    </row>
    <row r="527" spans="2:7" ht="15.75" customHeight="1" x14ac:dyDescent="0.2">
      <c r="B527" s="54"/>
      <c r="C527" s="54"/>
      <c r="D527" s="54"/>
      <c r="E527" s="54"/>
      <c r="F527" s="54"/>
      <c r="G527" s="54"/>
    </row>
    <row r="528" spans="2:7" ht="15.75" customHeight="1" x14ac:dyDescent="0.2">
      <c r="B528" s="54"/>
      <c r="C528" s="54"/>
      <c r="D528" s="54"/>
      <c r="E528" s="54"/>
      <c r="F528" s="54"/>
      <c r="G528" s="54"/>
    </row>
    <row r="529" spans="2:7" ht="15.75" customHeight="1" x14ac:dyDescent="0.2">
      <c r="B529" s="54"/>
      <c r="C529" s="54"/>
      <c r="D529" s="54"/>
      <c r="E529" s="54"/>
      <c r="F529" s="54"/>
      <c r="G529" s="54"/>
    </row>
    <row r="530" spans="2:7" ht="15.75" customHeight="1" x14ac:dyDescent="0.2">
      <c r="B530" s="54"/>
      <c r="C530" s="54"/>
      <c r="D530" s="54"/>
      <c r="E530" s="54"/>
      <c r="F530" s="54"/>
      <c r="G530" s="54"/>
    </row>
    <row r="531" spans="2:7" ht="15.75" customHeight="1" x14ac:dyDescent="0.2">
      <c r="B531" s="54"/>
      <c r="C531" s="54"/>
      <c r="D531" s="54"/>
      <c r="E531" s="54"/>
      <c r="F531" s="54"/>
      <c r="G531" s="54"/>
    </row>
    <row r="532" spans="2:7" ht="15.75" customHeight="1" x14ac:dyDescent="0.2">
      <c r="B532" s="54"/>
      <c r="C532" s="54"/>
      <c r="D532" s="54"/>
      <c r="E532" s="54"/>
      <c r="F532" s="54"/>
      <c r="G532" s="54"/>
    </row>
    <row r="533" spans="2:7" ht="15.75" customHeight="1" x14ac:dyDescent="0.2">
      <c r="B533" s="54"/>
      <c r="C533" s="54"/>
      <c r="D533" s="54"/>
      <c r="E533" s="54"/>
      <c r="F533" s="54"/>
      <c r="G533" s="54"/>
    </row>
    <row r="534" spans="2:7" ht="15.75" customHeight="1" x14ac:dyDescent="0.2">
      <c r="B534" s="54"/>
      <c r="C534" s="54"/>
      <c r="D534" s="54"/>
      <c r="E534" s="54"/>
      <c r="F534" s="54"/>
      <c r="G534" s="54"/>
    </row>
    <row r="535" spans="2:7" ht="15.75" customHeight="1" x14ac:dyDescent="0.2">
      <c r="B535" s="54"/>
      <c r="C535" s="54"/>
      <c r="D535" s="54"/>
      <c r="E535" s="54"/>
      <c r="F535" s="54"/>
      <c r="G535" s="54"/>
    </row>
    <row r="536" spans="2:7" ht="15.75" customHeight="1" x14ac:dyDescent="0.2">
      <c r="B536" s="54"/>
      <c r="C536" s="54"/>
      <c r="D536" s="54"/>
      <c r="E536" s="54"/>
      <c r="F536" s="54"/>
      <c r="G536" s="54"/>
    </row>
    <row r="537" spans="2:7" ht="15.75" customHeight="1" x14ac:dyDescent="0.2">
      <c r="B537" s="54"/>
      <c r="C537" s="54"/>
      <c r="D537" s="54"/>
      <c r="E537" s="54"/>
      <c r="F537" s="54"/>
      <c r="G537" s="54"/>
    </row>
    <row r="538" spans="2:7" ht="15.75" customHeight="1" x14ac:dyDescent="0.2">
      <c r="B538" s="54"/>
      <c r="C538" s="54"/>
      <c r="D538" s="54"/>
      <c r="E538" s="54"/>
      <c r="F538" s="54"/>
      <c r="G538" s="54"/>
    </row>
    <row r="539" spans="2:7" ht="15.75" customHeight="1" x14ac:dyDescent="0.2">
      <c r="B539" s="54"/>
      <c r="C539" s="54"/>
      <c r="D539" s="54"/>
      <c r="E539" s="54"/>
      <c r="F539" s="54"/>
      <c r="G539" s="54"/>
    </row>
    <row r="540" spans="2:7" ht="15.75" customHeight="1" x14ac:dyDescent="0.2">
      <c r="B540" s="54"/>
      <c r="C540" s="54"/>
      <c r="D540" s="54"/>
      <c r="E540" s="54"/>
      <c r="F540" s="54"/>
      <c r="G540" s="54"/>
    </row>
    <row r="541" spans="2:7" ht="15.75" customHeight="1" x14ac:dyDescent="0.2">
      <c r="B541" s="54"/>
      <c r="C541" s="54"/>
      <c r="D541" s="54"/>
      <c r="E541" s="54"/>
      <c r="F541" s="54"/>
      <c r="G541" s="54"/>
    </row>
    <row r="542" spans="2:7" ht="15.75" customHeight="1" x14ac:dyDescent="0.2">
      <c r="B542" s="54"/>
      <c r="C542" s="54"/>
      <c r="D542" s="54"/>
      <c r="E542" s="54"/>
      <c r="F542" s="54"/>
      <c r="G542" s="54"/>
    </row>
    <row r="543" spans="2:7" ht="15.75" customHeight="1" x14ac:dyDescent="0.2">
      <c r="B543" s="54"/>
      <c r="C543" s="54"/>
      <c r="D543" s="54"/>
      <c r="E543" s="54"/>
      <c r="F543" s="54"/>
      <c r="G543" s="54"/>
    </row>
    <row r="544" spans="2:7" ht="15.75" customHeight="1" x14ac:dyDescent="0.2">
      <c r="B544" s="54"/>
      <c r="C544" s="54"/>
      <c r="D544" s="54"/>
      <c r="E544" s="54"/>
      <c r="F544" s="54"/>
      <c r="G544" s="54"/>
    </row>
    <row r="545" spans="2:7" ht="15.75" customHeight="1" x14ac:dyDescent="0.2">
      <c r="B545" s="54"/>
      <c r="C545" s="54"/>
      <c r="D545" s="54"/>
      <c r="E545" s="54"/>
      <c r="F545" s="54"/>
      <c r="G545" s="54"/>
    </row>
    <row r="546" spans="2:7" ht="15.75" customHeight="1" x14ac:dyDescent="0.2">
      <c r="B546" s="54"/>
      <c r="C546" s="54"/>
      <c r="D546" s="54"/>
      <c r="E546" s="54"/>
      <c r="F546" s="54"/>
      <c r="G546" s="54"/>
    </row>
    <row r="547" spans="2:7" ht="15.75" customHeight="1" x14ac:dyDescent="0.2">
      <c r="B547" s="54"/>
      <c r="C547" s="54"/>
      <c r="D547" s="54"/>
      <c r="E547" s="54"/>
      <c r="F547" s="54"/>
      <c r="G547" s="54"/>
    </row>
    <row r="548" spans="2:7" ht="15.75" customHeight="1" x14ac:dyDescent="0.2">
      <c r="B548" s="54"/>
      <c r="C548" s="54"/>
      <c r="D548" s="54"/>
      <c r="E548" s="54"/>
      <c r="F548" s="54"/>
      <c r="G548" s="54"/>
    </row>
    <row r="549" spans="2:7" ht="15.75" customHeight="1" x14ac:dyDescent="0.2">
      <c r="B549" s="54"/>
      <c r="C549" s="54"/>
      <c r="D549" s="54"/>
      <c r="E549" s="54"/>
      <c r="F549" s="54"/>
      <c r="G549" s="54"/>
    </row>
    <row r="550" spans="2:7" ht="15.75" customHeight="1" x14ac:dyDescent="0.2">
      <c r="B550" s="54"/>
      <c r="C550" s="54"/>
      <c r="D550" s="54"/>
      <c r="E550" s="54"/>
      <c r="F550" s="54"/>
      <c r="G550" s="54"/>
    </row>
    <row r="551" spans="2:7" ht="15.75" customHeight="1" x14ac:dyDescent="0.2">
      <c r="B551" s="54"/>
      <c r="C551" s="54"/>
      <c r="D551" s="54"/>
      <c r="E551" s="54"/>
      <c r="F551" s="54"/>
      <c r="G551" s="54"/>
    </row>
    <row r="552" spans="2:7" ht="15.75" customHeight="1" x14ac:dyDescent="0.2">
      <c r="B552" s="54"/>
      <c r="C552" s="54"/>
      <c r="D552" s="54"/>
      <c r="E552" s="54"/>
      <c r="F552" s="54"/>
      <c r="G552" s="54"/>
    </row>
    <row r="553" spans="2:7" ht="15.75" customHeight="1" x14ac:dyDescent="0.2">
      <c r="B553" s="54"/>
      <c r="C553" s="54"/>
      <c r="D553" s="54"/>
      <c r="E553" s="54"/>
      <c r="F553" s="54"/>
      <c r="G553" s="54"/>
    </row>
    <row r="554" spans="2:7" ht="15.75" customHeight="1" x14ac:dyDescent="0.2">
      <c r="B554" s="54"/>
      <c r="C554" s="54"/>
      <c r="D554" s="54"/>
      <c r="E554" s="54"/>
      <c r="F554" s="54"/>
      <c r="G554" s="54"/>
    </row>
    <row r="555" spans="2:7" ht="15.75" customHeight="1" x14ac:dyDescent="0.2">
      <c r="B555" s="54"/>
      <c r="C555" s="54"/>
      <c r="D555" s="54"/>
      <c r="E555" s="54"/>
      <c r="F555" s="54"/>
      <c r="G555" s="54"/>
    </row>
    <row r="556" spans="2:7" ht="15.75" customHeight="1" x14ac:dyDescent="0.2">
      <c r="B556" s="54"/>
      <c r="C556" s="54"/>
      <c r="D556" s="54"/>
      <c r="E556" s="54"/>
      <c r="F556" s="54"/>
      <c r="G556" s="54"/>
    </row>
    <row r="557" spans="2:7" ht="15.75" customHeight="1" x14ac:dyDescent="0.2">
      <c r="B557" s="54"/>
      <c r="C557" s="54"/>
      <c r="D557" s="54"/>
      <c r="E557" s="54"/>
      <c r="F557" s="54"/>
      <c r="G557" s="54"/>
    </row>
    <row r="558" spans="2:7" ht="15.75" customHeight="1" x14ac:dyDescent="0.2">
      <c r="B558" s="54"/>
      <c r="C558" s="54"/>
      <c r="D558" s="54"/>
      <c r="E558" s="54"/>
      <c r="F558" s="54"/>
      <c r="G558" s="54"/>
    </row>
    <row r="559" spans="2:7" ht="15.75" customHeight="1" x14ac:dyDescent="0.2">
      <c r="B559" s="54"/>
      <c r="C559" s="54"/>
      <c r="D559" s="54"/>
      <c r="E559" s="54"/>
      <c r="F559" s="54"/>
      <c r="G559" s="54"/>
    </row>
    <row r="560" spans="2:7" ht="15.75" customHeight="1" x14ac:dyDescent="0.2">
      <c r="B560" s="54"/>
      <c r="C560" s="54"/>
      <c r="D560" s="54"/>
      <c r="E560" s="54"/>
      <c r="F560" s="54"/>
      <c r="G560" s="54"/>
    </row>
    <row r="561" spans="2:7" ht="15.75" customHeight="1" x14ac:dyDescent="0.2">
      <c r="B561" s="54"/>
      <c r="C561" s="54"/>
      <c r="D561" s="54"/>
      <c r="E561" s="54"/>
      <c r="F561" s="54"/>
      <c r="G561" s="54"/>
    </row>
    <row r="562" spans="2:7" ht="15.75" customHeight="1" x14ac:dyDescent="0.2">
      <c r="B562" s="54"/>
      <c r="C562" s="54"/>
      <c r="D562" s="54"/>
      <c r="E562" s="54"/>
      <c r="F562" s="54"/>
      <c r="G562" s="54"/>
    </row>
    <row r="563" spans="2:7" ht="15.75" customHeight="1" x14ac:dyDescent="0.2">
      <c r="B563" s="54"/>
      <c r="C563" s="54"/>
      <c r="D563" s="54"/>
      <c r="E563" s="54"/>
      <c r="F563" s="54"/>
      <c r="G563" s="54"/>
    </row>
    <row r="564" spans="2:7" ht="15.75" customHeight="1" x14ac:dyDescent="0.2">
      <c r="B564" s="54"/>
      <c r="C564" s="54"/>
      <c r="D564" s="54"/>
      <c r="E564" s="54"/>
      <c r="F564" s="54"/>
      <c r="G564" s="54"/>
    </row>
    <row r="565" spans="2:7" ht="15.75" customHeight="1" x14ac:dyDescent="0.2">
      <c r="B565" s="54"/>
      <c r="C565" s="54"/>
      <c r="D565" s="54"/>
      <c r="E565" s="54"/>
      <c r="F565" s="54"/>
      <c r="G565" s="54"/>
    </row>
    <row r="566" spans="2:7" ht="15.75" customHeight="1" x14ac:dyDescent="0.2">
      <c r="B566" s="54"/>
      <c r="C566" s="54"/>
      <c r="D566" s="54"/>
      <c r="E566" s="54"/>
      <c r="F566" s="54"/>
      <c r="G566" s="54"/>
    </row>
    <row r="567" spans="2:7" ht="15.75" customHeight="1" x14ac:dyDescent="0.2">
      <c r="B567" s="54"/>
      <c r="C567" s="54"/>
      <c r="D567" s="54"/>
      <c r="E567" s="54"/>
      <c r="F567" s="54"/>
      <c r="G567" s="54"/>
    </row>
    <row r="568" spans="2:7" ht="15.75" customHeight="1" x14ac:dyDescent="0.2">
      <c r="B568" s="54"/>
      <c r="C568" s="54"/>
      <c r="D568" s="54"/>
      <c r="E568" s="54"/>
      <c r="F568" s="54"/>
      <c r="G568" s="54"/>
    </row>
    <row r="569" spans="2:7" ht="15.75" customHeight="1" x14ac:dyDescent="0.2">
      <c r="B569" s="54"/>
      <c r="C569" s="54"/>
      <c r="D569" s="54"/>
      <c r="E569" s="54"/>
      <c r="F569" s="54"/>
      <c r="G569" s="54"/>
    </row>
    <row r="570" spans="2:7" ht="15.75" customHeight="1" x14ac:dyDescent="0.2">
      <c r="B570" s="54"/>
      <c r="C570" s="54"/>
      <c r="D570" s="54"/>
      <c r="E570" s="54"/>
      <c r="F570" s="54"/>
      <c r="G570" s="54"/>
    </row>
    <row r="571" spans="2:7" ht="15.75" customHeight="1" x14ac:dyDescent="0.2">
      <c r="B571" s="54"/>
      <c r="C571" s="54"/>
      <c r="D571" s="54"/>
      <c r="E571" s="54"/>
      <c r="F571" s="54"/>
      <c r="G571" s="54"/>
    </row>
    <row r="572" spans="2:7" ht="15.75" customHeight="1" x14ac:dyDescent="0.2">
      <c r="B572" s="54"/>
      <c r="C572" s="54"/>
      <c r="D572" s="54"/>
      <c r="E572" s="54"/>
      <c r="F572" s="54"/>
      <c r="G572" s="54"/>
    </row>
    <row r="573" spans="2:7" ht="15.75" customHeight="1" x14ac:dyDescent="0.2">
      <c r="B573" s="54"/>
      <c r="C573" s="54"/>
      <c r="D573" s="54"/>
      <c r="E573" s="54"/>
      <c r="F573" s="54"/>
      <c r="G573" s="54"/>
    </row>
    <row r="574" spans="2:7" ht="15.75" customHeight="1" x14ac:dyDescent="0.2">
      <c r="B574" s="54"/>
      <c r="C574" s="54"/>
      <c r="D574" s="54"/>
      <c r="E574" s="54"/>
      <c r="F574" s="54"/>
      <c r="G574" s="54"/>
    </row>
    <row r="575" spans="2:7" ht="15.75" customHeight="1" x14ac:dyDescent="0.2">
      <c r="B575" s="54"/>
      <c r="C575" s="54"/>
      <c r="D575" s="54"/>
      <c r="E575" s="54"/>
      <c r="F575" s="54"/>
      <c r="G575" s="54"/>
    </row>
    <row r="576" spans="2:7" ht="15.75" customHeight="1" x14ac:dyDescent="0.2">
      <c r="B576" s="54"/>
      <c r="C576" s="54"/>
      <c r="D576" s="54"/>
      <c r="E576" s="54"/>
      <c r="F576" s="54"/>
      <c r="G576" s="54"/>
    </row>
    <row r="577" spans="2:7" ht="15.75" customHeight="1" x14ac:dyDescent="0.2">
      <c r="B577" s="54"/>
      <c r="C577" s="54"/>
      <c r="D577" s="54"/>
      <c r="E577" s="54"/>
      <c r="F577" s="54"/>
      <c r="G577" s="54"/>
    </row>
    <row r="578" spans="2:7" ht="15.75" customHeight="1" x14ac:dyDescent="0.2">
      <c r="B578" s="54"/>
      <c r="C578" s="54"/>
      <c r="D578" s="54"/>
      <c r="E578" s="54"/>
      <c r="F578" s="54"/>
      <c r="G578" s="54"/>
    </row>
    <row r="579" spans="2:7" ht="15.75" customHeight="1" x14ac:dyDescent="0.2">
      <c r="B579" s="54"/>
      <c r="C579" s="54"/>
      <c r="D579" s="54"/>
      <c r="E579" s="54"/>
      <c r="F579" s="54"/>
      <c r="G579" s="54"/>
    </row>
    <row r="580" spans="2:7" ht="15.75" customHeight="1" x14ac:dyDescent="0.2">
      <c r="B580" s="54"/>
      <c r="C580" s="54"/>
      <c r="D580" s="54"/>
      <c r="E580" s="54"/>
      <c r="F580" s="54"/>
      <c r="G580" s="54"/>
    </row>
    <row r="581" spans="2:7" ht="15.75" customHeight="1" x14ac:dyDescent="0.2">
      <c r="B581" s="54"/>
      <c r="C581" s="54"/>
      <c r="D581" s="54"/>
      <c r="E581" s="54"/>
      <c r="F581" s="54"/>
      <c r="G581" s="54"/>
    </row>
    <row r="582" spans="2:7" ht="15.75" customHeight="1" x14ac:dyDescent="0.2">
      <c r="B582" s="54"/>
      <c r="C582" s="54"/>
      <c r="D582" s="54"/>
      <c r="E582" s="54"/>
      <c r="F582" s="54"/>
      <c r="G582" s="54"/>
    </row>
    <row r="583" spans="2:7" ht="15.75" customHeight="1" x14ac:dyDescent="0.2">
      <c r="B583" s="54"/>
      <c r="C583" s="54"/>
      <c r="D583" s="54"/>
      <c r="E583" s="54"/>
      <c r="F583" s="54"/>
      <c r="G583" s="54"/>
    </row>
    <row r="584" spans="2:7" ht="15.75" customHeight="1" x14ac:dyDescent="0.2">
      <c r="B584" s="54"/>
      <c r="C584" s="54"/>
      <c r="D584" s="54"/>
      <c r="E584" s="54"/>
      <c r="F584" s="54"/>
      <c r="G584" s="54"/>
    </row>
    <row r="585" spans="2:7" ht="15.75" customHeight="1" x14ac:dyDescent="0.2">
      <c r="B585" s="54"/>
      <c r="C585" s="54"/>
      <c r="D585" s="54"/>
      <c r="E585" s="54"/>
      <c r="F585" s="54"/>
      <c r="G585" s="54"/>
    </row>
    <row r="586" spans="2:7" ht="15.75" customHeight="1" x14ac:dyDescent="0.2">
      <c r="B586" s="54"/>
      <c r="C586" s="54"/>
      <c r="D586" s="54"/>
      <c r="E586" s="54"/>
      <c r="F586" s="54"/>
      <c r="G586" s="54"/>
    </row>
    <row r="587" spans="2:7" ht="15.75" customHeight="1" x14ac:dyDescent="0.2">
      <c r="B587" s="54"/>
      <c r="C587" s="54"/>
      <c r="D587" s="54"/>
      <c r="E587" s="54"/>
      <c r="F587" s="54"/>
      <c r="G587" s="54"/>
    </row>
    <row r="588" spans="2:7" ht="15.75" customHeight="1" x14ac:dyDescent="0.2">
      <c r="B588" s="54"/>
      <c r="C588" s="54"/>
      <c r="D588" s="54"/>
      <c r="E588" s="54"/>
      <c r="F588" s="54"/>
      <c r="G588" s="54"/>
    </row>
    <row r="589" spans="2:7" ht="15.75" customHeight="1" x14ac:dyDescent="0.2">
      <c r="B589" s="54"/>
      <c r="C589" s="54"/>
      <c r="D589" s="54"/>
      <c r="E589" s="54"/>
      <c r="F589" s="54"/>
      <c r="G589" s="54"/>
    </row>
    <row r="590" spans="2:7" ht="15.75" customHeight="1" x14ac:dyDescent="0.2">
      <c r="B590" s="54"/>
      <c r="C590" s="54"/>
      <c r="D590" s="54"/>
      <c r="E590" s="54"/>
      <c r="F590" s="54"/>
      <c r="G590" s="54"/>
    </row>
    <row r="591" spans="2:7" ht="15.75" customHeight="1" x14ac:dyDescent="0.2">
      <c r="B591" s="54"/>
      <c r="C591" s="54"/>
      <c r="D591" s="54"/>
      <c r="E591" s="54"/>
      <c r="F591" s="54"/>
      <c r="G591" s="54"/>
    </row>
    <row r="592" spans="2:7" ht="15.75" customHeight="1" x14ac:dyDescent="0.2">
      <c r="B592" s="54"/>
      <c r="C592" s="54"/>
      <c r="D592" s="54"/>
      <c r="E592" s="54"/>
      <c r="F592" s="54"/>
      <c r="G592" s="54"/>
    </row>
    <row r="593" spans="2:7" ht="15.75" customHeight="1" x14ac:dyDescent="0.2">
      <c r="B593" s="54"/>
      <c r="C593" s="54"/>
      <c r="D593" s="54"/>
      <c r="E593" s="54"/>
      <c r="F593" s="54"/>
      <c r="G593" s="54"/>
    </row>
    <row r="594" spans="2:7" ht="15.75" customHeight="1" x14ac:dyDescent="0.2">
      <c r="B594" s="54"/>
      <c r="C594" s="54"/>
      <c r="D594" s="54"/>
      <c r="E594" s="54"/>
      <c r="F594" s="54"/>
      <c r="G594" s="54"/>
    </row>
    <row r="595" spans="2:7" ht="15.75" customHeight="1" x14ac:dyDescent="0.2">
      <c r="B595" s="54"/>
      <c r="C595" s="54"/>
      <c r="D595" s="54"/>
      <c r="E595" s="54"/>
      <c r="F595" s="54"/>
      <c r="G595" s="54"/>
    </row>
    <row r="596" spans="2:7" ht="15.75" customHeight="1" x14ac:dyDescent="0.2">
      <c r="B596" s="54"/>
      <c r="C596" s="54"/>
      <c r="D596" s="54"/>
      <c r="E596" s="54"/>
      <c r="F596" s="54"/>
      <c r="G596" s="54"/>
    </row>
    <row r="597" spans="2:7" ht="15.75" customHeight="1" x14ac:dyDescent="0.2">
      <c r="B597" s="54"/>
      <c r="C597" s="54"/>
      <c r="D597" s="54"/>
      <c r="E597" s="54"/>
      <c r="F597" s="54"/>
      <c r="G597" s="54"/>
    </row>
    <row r="598" spans="2:7" ht="15.75" customHeight="1" x14ac:dyDescent="0.2">
      <c r="B598" s="54"/>
      <c r="C598" s="54"/>
      <c r="D598" s="54"/>
      <c r="E598" s="54"/>
      <c r="F598" s="54"/>
      <c r="G598" s="54"/>
    </row>
    <row r="599" spans="2:7" ht="15.75" customHeight="1" x14ac:dyDescent="0.2">
      <c r="B599" s="54"/>
      <c r="C599" s="54"/>
      <c r="D599" s="54"/>
      <c r="E599" s="54"/>
      <c r="F599" s="54"/>
      <c r="G599" s="54"/>
    </row>
    <row r="600" spans="2:7" ht="15.75" customHeight="1" x14ac:dyDescent="0.2">
      <c r="B600" s="54"/>
      <c r="C600" s="54"/>
      <c r="D600" s="54"/>
      <c r="E600" s="54"/>
      <c r="F600" s="54"/>
      <c r="G600" s="54"/>
    </row>
    <row r="601" spans="2:7" ht="15.75" customHeight="1" x14ac:dyDescent="0.2">
      <c r="B601" s="54"/>
      <c r="C601" s="54"/>
      <c r="D601" s="54"/>
      <c r="E601" s="54"/>
      <c r="F601" s="54"/>
      <c r="G601" s="54"/>
    </row>
    <row r="602" spans="2:7" ht="15.75" customHeight="1" x14ac:dyDescent="0.2">
      <c r="B602" s="54"/>
      <c r="C602" s="54"/>
      <c r="D602" s="54"/>
      <c r="E602" s="54"/>
      <c r="F602" s="54"/>
      <c r="G602" s="54"/>
    </row>
    <row r="603" spans="2:7" ht="15.75" customHeight="1" x14ac:dyDescent="0.2">
      <c r="B603" s="54"/>
      <c r="C603" s="54"/>
      <c r="D603" s="54"/>
      <c r="E603" s="54"/>
      <c r="F603" s="54"/>
      <c r="G603" s="54"/>
    </row>
    <row r="604" spans="2:7" ht="15.75" customHeight="1" x14ac:dyDescent="0.2">
      <c r="B604" s="54"/>
      <c r="C604" s="54"/>
      <c r="D604" s="54"/>
      <c r="E604" s="54"/>
      <c r="F604" s="54"/>
      <c r="G604" s="54"/>
    </row>
    <row r="605" spans="2:7" ht="15.75" customHeight="1" x14ac:dyDescent="0.2">
      <c r="B605" s="54"/>
      <c r="C605" s="54"/>
      <c r="D605" s="54"/>
      <c r="E605" s="54"/>
      <c r="F605" s="54"/>
      <c r="G605" s="54"/>
    </row>
    <row r="606" spans="2:7" ht="15.75" customHeight="1" x14ac:dyDescent="0.2">
      <c r="B606" s="54"/>
      <c r="C606" s="54"/>
      <c r="D606" s="54"/>
      <c r="E606" s="54"/>
      <c r="F606" s="54"/>
      <c r="G606" s="54"/>
    </row>
    <row r="607" spans="2:7" ht="15.75" customHeight="1" x14ac:dyDescent="0.2">
      <c r="B607" s="54"/>
      <c r="C607" s="54"/>
      <c r="D607" s="54"/>
      <c r="E607" s="54"/>
      <c r="F607" s="54"/>
      <c r="G607" s="54"/>
    </row>
    <row r="608" spans="2:7" ht="15.75" customHeight="1" x14ac:dyDescent="0.2">
      <c r="B608" s="54"/>
      <c r="C608" s="54"/>
      <c r="D608" s="54"/>
      <c r="E608" s="54"/>
      <c r="F608" s="54"/>
      <c r="G608" s="54"/>
    </row>
    <row r="609" spans="2:7" ht="15.75" customHeight="1" x14ac:dyDescent="0.2">
      <c r="B609" s="54"/>
      <c r="C609" s="54"/>
      <c r="D609" s="54"/>
      <c r="E609" s="54"/>
      <c r="F609" s="54"/>
      <c r="G609" s="54"/>
    </row>
    <row r="610" spans="2:7" ht="15.75" customHeight="1" x14ac:dyDescent="0.2">
      <c r="B610" s="54"/>
      <c r="C610" s="54"/>
      <c r="D610" s="54"/>
      <c r="E610" s="54"/>
      <c r="F610" s="54"/>
      <c r="G610" s="54"/>
    </row>
    <row r="611" spans="2:7" ht="15.75" customHeight="1" x14ac:dyDescent="0.2">
      <c r="B611" s="54"/>
      <c r="C611" s="54"/>
      <c r="D611" s="54"/>
      <c r="E611" s="54"/>
      <c r="F611" s="54"/>
      <c r="G611" s="54"/>
    </row>
    <row r="612" spans="2:7" ht="15.75" customHeight="1" x14ac:dyDescent="0.2">
      <c r="B612" s="54"/>
      <c r="C612" s="54"/>
      <c r="D612" s="54"/>
      <c r="E612" s="54"/>
      <c r="F612" s="54"/>
      <c r="G612" s="54"/>
    </row>
    <row r="613" spans="2:7" ht="15.75" customHeight="1" x14ac:dyDescent="0.2">
      <c r="B613" s="54"/>
      <c r="C613" s="54"/>
      <c r="D613" s="54"/>
      <c r="E613" s="54"/>
      <c r="F613" s="54"/>
      <c r="G613" s="54"/>
    </row>
    <row r="614" spans="2:7" ht="15.75" customHeight="1" x14ac:dyDescent="0.2">
      <c r="B614" s="54"/>
      <c r="C614" s="54"/>
      <c r="D614" s="54"/>
      <c r="E614" s="54"/>
      <c r="F614" s="54"/>
      <c r="G614" s="54"/>
    </row>
    <row r="615" spans="2:7" ht="15.75" customHeight="1" x14ac:dyDescent="0.2">
      <c r="B615" s="54"/>
      <c r="C615" s="54"/>
      <c r="D615" s="54"/>
      <c r="E615" s="54"/>
      <c r="F615" s="54"/>
      <c r="G615" s="54"/>
    </row>
    <row r="616" spans="2:7" ht="15.75" customHeight="1" x14ac:dyDescent="0.2">
      <c r="B616" s="54"/>
      <c r="C616" s="54"/>
      <c r="D616" s="54"/>
      <c r="E616" s="54"/>
      <c r="F616" s="54"/>
      <c r="G616" s="54"/>
    </row>
    <row r="617" spans="2:7" ht="15.75" customHeight="1" x14ac:dyDescent="0.2">
      <c r="B617" s="54"/>
      <c r="C617" s="54"/>
      <c r="D617" s="54"/>
      <c r="E617" s="54"/>
      <c r="F617" s="54"/>
      <c r="G617" s="54"/>
    </row>
    <row r="618" spans="2:7" ht="15.75" customHeight="1" x14ac:dyDescent="0.2">
      <c r="B618" s="54"/>
      <c r="C618" s="54"/>
      <c r="D618" s="54"/>
      <c r="E618" s="54"/>
      <c r="F618" s="54"/>
      <c r="G618" s="54"/>
    </row>
    <row r="619" spans="2:7" ht="15.75" customHeight="1" x14ac:dyDescent="0.2">
      <c r="B619" s="54"/>
      <c r="C619" s="54"/>
      <c r="D619" s="54"/>
      <c r="E619" s="54"/>
      <c r="F619" s="54"/>
      <c r="G619" s="54"/>
    </row>
    <row r="620" spans="2:7" ht="15.75" customHeight="1" x14ac:dyDescent="0.2">
      <c r="B620" s="54"/>
      <c r="C620" s="54"/>
      <c r="D620" s="54"/>
      <c r="E620" s="54"/>
      <c r="F620" s="54"/>
      <c r="G620" s="54"/>
    </row>
    <row r="621" spans="2:7" ht="15.75" customHeight="1" x14ac:dyDescent="0.2">
      <c r="B621" s="54"/>
      <c r="C621" s="54"/>
      <c r="D621" s="54"/>
      <c r="E621" s="54"/>
      <c r="F621" s="54"/>
      <c r="G621" s="54"/>
    </row>
    <row r="622" spans="2:7" ht="15.75" customHeight="1" x14ac:dyDescent="0.2">
      <c r="B622" s="54"/>
      <c r="C622" s="54"/>
      <c r="D622" s="54"/>
      <c r="E622" s="54"/>
      <c r="F622" s="54"/>
      <c r="G622" s="54"/>
    </row>
    <row r="623" spans="2:7" ht="15.75" customHeight="1" x14ac:dyDescent="0.2">
      <c r="B623" s="54"/>
      <c r="C623" s="54"/>
      <c r="D623" s="54"/>
      <c r="E623" s="54"/>
      <c r="F623" s="54"/>
      <c r="G623" s="54"/>
    </row>
    <row r="624" spans="2:7" ht="15.75" customHeight="1" x14ac:dyDescent="0.2">
      <c r="B624" s="54"/>
      <c r="C624" s="54"/>
      <c r="D624" s="54"/>
      <c r="E624" s="54"/>
      <c r="F624" s="54"/>
      <c r="G624" s="54"/>
    </row>
    <row r="625" spans="2:7" ht="15.75" customHeight="1" x14ac:dyDescent="0.2">
      <c r="B625" s="54"/>
      <c r="C625" s="54"/>
      <c r="D625" s="54"/>
      <c r="E625" s="54"/>
      <c r="F625" s="54"/>
      <c r="G625" s="54"/>
    </row>
    <row r="626" spans="2:7" ht="15.75" customHeight="1" x14ac:dyDescent="0.2">
      <c r="B626" s="54"/>
      <c r="C626" s="54"/>
      <c r="D626" s="54"/>
      <c r="E626" s="54"/>
      <c r="F626" s="54"/>
      <c r="G626" s="54"/>
    </row>
    <row r="627" spans="2:7" ht="15.75" customHeight="1" x14ac:dyDescent="0.2">
      <c r="B627" s="54"/>
      <c r="C627" s="54"/>
      <c r="D627" s="54"/>
      <c r="E627" s="54"/>
      <c r="F627" s="54"/>
      <c r="G627" s="54"/>
    </row>
    <row r="628" spans="2:7" ht="15.75" customHeight="1" x14ac:dyDescent="0.2">
      <c r="B628" s="54"/>
      <c r="C628" s="54"/>
      <c r="D628" s="54"/>
      <c r="E628" s="54"/>
      <c r="F628" s="54"/>
      <c r="G628" s="54"/>
    </row>
    <row r="629" spans="2:7" ht="15.75" customHeight="1" x14ac:dyDescent="0.2">
      <c r="B629" s="54"/>
      <c r="C629" s="54"/>
      <c r="D629" s="54"/>
      <c r="E629" s="54"/>
      <c r="F629" s="54"/>
      <c r="G629" s="54"/>
    </row>
    <row r="630" spans="2:7" ht="15.75" customHeight="1" x14ac:dyDescent="0.2">
      <c r="B630" s="54"/>
      <c r="C630" s="54"/>
      <c r="D630" s="54"/>
      <c r="E630" s="54"/>
      <c r="F630" s="54"/>
      <c r="G630" s="54"/>
    </row>
    <row r="631" spans="2:7" ht="15.75" customHeight="1" x14ac:dyDescent="0.2">
      <c r="B631" s="54"/>
      <c r="C631" s="54"/>
      <c r="D631" s="54"/>
      <c r="E631" s="54"/>
      <c r="F631" s="54"/>
      <c r="G631" s="54"/>
    </row>
    <row r="632" spans="2:7" ht="15.75" customHeight="1" x14ac:dyDescent="0.2">
      <c r="B632" s="54"/>
      <c r="C632" s="54"/>
      <c r="D632" s="54"/>
      <c r="E632" s="54"/>
      <c r="F632" s="54"/>
      <c r="G632" s="54"/>
    </row>
    <row r="633" spans="2:7" ht="15.75" customHeight="1" x14ac:dyDescent="0.2">
      <c r="B633" s="54"/>
      <c r="C633" s="54"/>
      <c r="D633" s="54"/>
      <c r="E633" s="54"/>
      <c r="F633" s="54"/>
      <c r="G633" s="54"/>
    </row>
    <row r="634" spans="2:7" ht="15.75" customHeight="1" x14ac:dyDescent="0.2">
      <c r="B634" s="54"/>
      <c r="C634" s="54"/>
      <c r="D634" s="54"/>
      <c r="E634" s="54"/>
      <c r="F634" s="54"/>
      <c r="G634" s="54"/>
    </row>
    <row r="635" spans="2:7" ht="15.75" customHeight="1" x14ac:dyDescent="0.2">
      <c r="B635" s="54"/>
      <c r="C635" s="54"/>
      <c r="D635" s="54"/>
      <c r="E635" s="54"/>
      <c r="F635" s="54"/>
      <c r="G635" s="54"/>
    </row>
    <row r="636" spans="2:7" ht="15.75" customHeight="1" x14ac:dyDescent="0.2">
      <c r="B636" s="54"/>
      <c r="C636" s="54"/>
      <c r="D636" s="54"/>
      <c r="E636" s="54"/>
      <c r="F636" s="54"/>
      <c r="G636" s="54"/>
    </row>
    <row r="637" spans="2:7" ht="15.75" customHeight="1" x14ac:dyDescent="0.2">
      <c r="B637" s="54"/>
      <c r="C637" s="54"/>
      <c r="D637" s="54"/>
      <c r="E637" s="54"/>
      <c r="F637" s="54"/>
      <c r="G637" s="54"/>
    </row>
    <row r="638" spans="2:7" ht="15.75" customHeight="1" x14ac:dyDescent="0.2">
      <c r="B638" s="54"/>
      <c r="C638" s="54"/>
      <c r="D638" s="54"/>
      <c r="E638" s="54"/>
      <c r="F638" s="54"/>
      <c r="G638" s="54"/>
    </row>
    <row r="639" spans="2:7" ht="15.75" customHeight="1" x14ac:dyDescent="0.2">
      <c r="B639" s="54"/>
      <c r="C639" s="54"/>
      <c r="D639" s="54"/>
      <c r="E639" s="54"/>
      <c r="F639" s="54"/>
      <c r="G639" s="54"/>
    </row>
    <row r="640" spans="2:7" ht="15.75" customHeight="1" x14ac:dyDescent="0.2">
      <c r="B640" s="54"/>
      <c r="C640" s="54"/>
      <c r="D640" s="54"/>
      <c r="E640" s="54"/>
      <c r="F640" s="54"/>
      <c r="G640" s="54"/>
    </row>
    <row r="641" spans="2:7" ht="15.75" customHeight="1" x14ac:dyDescent="0.2">
      <c r="B641" s="54"/>
      <c r="C641" s="54"/>
      <c r="D641" s="54"/>
      <c r="E641" s="54"/>
      <c r="F641" s="54"/>
      <c r="G641" s="54"/>
    </row>
    <row r="642" spans="2:7" ht="15.75" customHeight="1" x14ac:dyDescent="0.2">
      <c r="B642" s="54"/>
      <c r="C642" s="54"/>
      <c r="D642" s="54"/>
      <c r="E642" s="54"/>
      <c r="F642" s="54"/>
      <c r="G642" s="54"/>
    </row>
    <row r="643" spans="2:7" ht="15.75" customHeight="1" x14ac:dyDescent="0.2">
      <c r="B643" s="54"/>
      <c r="C643" s="54"/>
      <c r="D643" s="54"/>
      <c r="E643" s="54"/>
      <c r="F643" s="54"/>
      <c r="G643" s="54"/>
    </row>
    <row r="644" spans="2:7" ht="15.75" customHeight="1" x14ac:dyDescent="0.2">
      <c r="B644" s="54"/>
      <c r="C644" s="54"/>
      <c r="D644" s="54"/>
      <c r="E644" s="54"/>
      <c r="F644" s="54"/>
      <c r="G644" s="54"/>
    </row>
    <row r="645" spans="2:7" ht="15.75" customHeight="1" x14ac:dyDescent="0.2">
      <c r="B645" s="54"/>
      <c r="C645" s="54"/>
      <c r="D645" s="54"/>
      <c r="E645" s="54"/>
      <c r="F645" s="54"/>
      <c r="G645" s="54"/>
    </row>
    <row r="646" spans="2:7" ht="15.75" customHeight="1" x14ac:dyDescent="0.2">
      <c r="B646" s="54"/>
      <c r="C646" s="54"/>
      <c r="D646" s="54"/>
      <c r="E646" s="54"/>
      <c r="F646" s="54"/>
      <c r="G646" s="54"/>
    </row>
    <row r="647" spans="2:7" ht="15.75" customHeight="1" x14ac:dyDescent="0.2">
      <c r="B647" s="54"/>
      <c r="C647" s="54"/>
      <c r="D647" s="54"/>
      <c r="E647" s="54"/>
      <c r="F647" s="54"/>
      <c r="G647" s="54"/>
    </row>
    <row r="648" spans="2:7" ht="15.75" customHeight="1" x14ac:dyDescent="0.2">
      <c r="B648" s="54"/>
      <c r="C648" s="54"/>
      <c r="D648" s="54"/>
      <c r="E648" s="54"/>
      <c r="F648" s="54"/>
      <c r="G648" s="54"/>
    </row>
    <row r="649" spans="2:7" ht="15.75" customHeight="1" x14ac:dyDescent="0.2">
      <c r="B649" s="54"/>
      <c r="C649" s="54"/>
      <c r="D649" s="54"/>
      <c r="E649" s="54"/>
      <c r="F649" s="54"/>
      <c r="G649" s="54"/>
    </row>
    <row r="650" spans="2:7" ht="15.75" customHeight="1" x14ac:dyDescent="0.2">
      <c r="B650" s="54"/>
      <c r="C650" s="54"/>
      <c r="D650" s="54"/>
      <c r="E650" s="54"/>
      <c r="F650" s="54"/>
      <c r="G650" s="54"/>
    </row>
    <row r="651" spans="2:7" ht="15.75" customHeight="1" x14ac:dyDescent="0.2">
      <c r="B651" s="54"/>
      <c r="C651" s="54"/>
      <c r="D651" s="54"/>
      <c r="E651" s="54"/>
      <c r="F651" s="54"/>
      <c r="G651" s="54"/>
    </row>
    <row r="652" spans="2:7" ht="15.75" customHeight="1" x14ac:dyDescent="0.2">
      <c r="B652" s="54"/>
      <c r="C652" s="54"/>
      <c r="D652" s="54"/>
      <c r="E652" s="54"/>
      <c r="F652" s="54"/>
      <c r="G652" s="54"/>
    </row>
    <row r="653" spans="2:7" ht="15.75" customHeight="1" x14ac:dyDescent="0.2">
      <c r="B653" s="54"/>
      <c r="C653" s="54"/>
      <c r="D653" s="54"/>
      <c r="E653" s="54"/>
      <c r="F653" s="54"/>
      <c r="G653" s="54"/>
    </row>
    <row r="654" spans="2:7" ht="15.75" customHeight="1" x14ac:dyDescent="0.2">
      <c r="B654" s="54"/>
      <c r="C654" s="54"/>
      <c r="D654" s="54"/>
      <c r="E654" s="54"/>
      <c r="F654" s="54"/>
      <c r="G654" s="54"/>
    </row>
    <row r="655" spans="2:7" ht="15.75" customHeight="1" x14ac:dyDescent="0.2">
      <c r="B655" s="54"/>
      <c r="C655" s="54"/>
      <c r="D655" s="54"/>
      <c r="E655" s="54"/>
      <c r="F655" s="54"/>
      <c r="G655" s="54"/>
    </row>
    <row r="656" spans="2:7" ht="15.75" customHeight="1" x14ac:dyDescent="0.2">
      <c r="B656" s="54"/>
      <c r="C656" s="54"/>
      <c r="D656" s="54"/>
      <c r="E656" s="54"/>
      <c r="F656" s="54"/>
      <c r="G656" s="54"/>
    </row>
    <row r="657" spans="2:7" ht="15.75" customHeight="1" x14ac:dyDescent="0.2">
      <c r="B657" s="54"/>
      <c r="C657" s="54"/>
      <c r="D657" s="54"/>
      <c r="E657" s="54"/>
      <c r="F657" s="54"/>
      <c r="G657" s="54"/>
    </row>
    <row r="658" spans="2:7" ht="15.75" customHeight="1" x14ac:dyDescent="0.2">
      <c r="B658" s="54"/>
      <c r="C658" s="54"/>
      <c r="D658" s="54"/>
      <c r="E658" s="54"/>
      <c r="F658" s="54"/>
      <c r="G658" s="54"/>
    </row>
    <row r="659" spans="2:7" ht="15.75" customHeight="1" x14ac:dyDescent="0.2">
      <c r="B659" s="54"/>
      <c r="C659" s="54"/>
      <c r="D659" s="54"/>
      <c r="E659" s="54"/>
      <c r="F659" s="54"/>
      <c r="G659" s="54"/>
    </row>
    <row r="660" spans="2:7" ht="15.75" customHeight="1" x14ac:dyDescent="0.2">
      <c r="B660" s="54"/>
      <c r="C660" s="54"/>
      <c r="D660" s="54"/>
      <c r="E660" s="54"/>
      <c r="F660" s="54"/>
      <c r="G660" s="54"/>
    </row>
    <row r="661" spans="2:7" ht="15.75" customHeight="1" x14ac:dyDescent="0.2">
      <c r="B661" s="54"/>
      <c r="C661" s="54"/>
      <c r="D661" s="54"/>
      <c r="E661" s="54"/>
      <c r="F661" s="54"/>
      <c r="G661" s="54"/>
    </row>
    <row r="662" spans="2:7" ht="15.75" customHeight="1" x14ac:dyDescent="0.2">
      <c r="B662" s="54"/>
      <c r="C662" s="54"/>
      <c r="D662" s="54"/>
      <c r="E662" s="54"/>
      <c r="F662" s="54"/>
      <c r="G662" s="54"/>
    </row>
    <row r="663" spans="2:7" ht="15.75" customHeight="1" x14ac:dyDescent="0.2">
      <c r="B663" s="54"/>
      <c r="C663" s="54"/>
      <c r="D663" s="54"/>
      <c r="E663" s="54"/>
      <c r="F663" s="54"/>
      <c r="G663" s="54"/>
    </row>
    <row r="664" spans="2:7" ht="15.75" customHeight="1" x14ac:dyDescent="0.2">
      <c r="B664" s="54"/>
      <c r="C664" s="54"/>
      <c r="D664" s="54"/>
      <c r="E664" s="54"/>
      <c r="F664" s="54"/>
      <c r="G664" s="54"/>
    </row>
    <row r="665" spans="2:7" ht="15.75" customHeight="1" x14ac:dyDescent="0.2">
      <c r="B665" s="54"/>
      <c r="C665" s="54"/>
      <c r="D665" s="54"/>
      <c r="E665" s="54"/>
      <c r="F665" s="54"/>
      <c r="G665" s="54"/>
    </row>
    <row r="666" spans="2:7" ht="15.75" customHeight="1" x14ac:dyDescent="0.2">
      <c r="B666" s="54"/>
      <c r="C666" s="54"/>
      <c r="D666" s="54"/>
      <c r="E666" s="54"/>
      <c r="F666" s="54"/>
      <c r="G666" s="54"/>
    </row>
    <row r="667" spans="2:7" ht="15.75" customHeight="1" x14ac:dyDescent="0.2">
      <c r="B667" s="54"/>
      <c r="C667" s="54"/>
      <c r="D667" s="54"/>
      <c r="E667" s="54"/>
      <c r="F667" s="54"/>
      <c r="G667" s="54"/>
    </row>
    <row r="668" spans="2:7" ht="15.75" customHeight="1" x14ac:dyDescent="0.2">
      <c r="B668" s="54"/>
      <c r="C668" s="54"/>
      <c r="D668" s="54"/>
      <c r="E668" s="54"/>
      <c r="F668" s="54"/>
      <c r="G668" s="54"/>
    </row>
    <row r="669" spans="2:7" ht="15.75" customHeight="1" x14ac:dyDescent="0.2">
      <c r="B669" s="54"/>
      <c r="C669" s="54"/>
      <c r="D669" s="54"/>
      <c r="E669" s="54"/>
      <c r="F669" s="54"/>
      <c r="G669" s="54"/>
    </row>
    <row r="670" spans="2:7" ht="15.75" customHeight="1" x14ac:dyDescent="0.2">
      <c r="B670" s="54"/>
      <c r="C670" s="54"/>
      <c r="D670" s="54"/>
      <c r="E670" s="54"/>
      <c r="F670" s="54"/>
      <c r="G670" s="54"/>
    </row>
    <row r="671" spans="2:7" ht="15.75" customHeight="1" x14ac:dyDescent="0.2">
      <c r="B671" s="54"/>
      <c r="C671" s="54"/>
      <c r="D671" s="54"/>
      <c r="E671" s="54"/>
      <c r="F671" s="54"/>
      <c r="G671" s="54"/>
    </row>
    <row r="672" spans="2:7" ht="15.75" customHeight="1" x14ac:dyDescent="0.2">
      <c r="B672" s="54"/>
      <c r="C672" s="54"/>
      <c r="D672" s="54"/>
      <c r="E672" s="54"/>
      <c r="F672" s="54"/>
      <c r="G672" s="54"/>
    </row>
    <row r="673" spans="2:7" ht="15.75" customHeight="1" x14ac:dyDescent="0.2">
      <c r="B673" s="54"/>
      <c r="C673" s="54"/>
      <c r="D673" s="54"/>
      <c r="E673" s="54"/>
      <c r="F673" s="54"/>
      <c r="G673" s="54"/>
    </row>
    <row r="674" spans="2:7" ht="15.75" customHeight="1" x14ac:dyDescent="0.2">
      <c r="B674" s="54"/>
      <c r="C674" s="54"/>
      <c r="D674" s="54"/>
      <c r="E674" s="54"/>
      <c r="F674" s="54"/>
      <c r="G674" s="54"/>
    </row>
    <row r="675" spans="2:7" ht="15.75" customHeight="1" x14ac:dyDescent="0.2">
      <c r="B675" s="54"/>
      <c r="C675" s="54"/>
      <c r="D675" s="54"/>
      <c r="E675" s="54"/>
      <c r="F675" s="54"/>
      <c r="G675" s="54"/>
    </row>
    <row r="676" spans="2:7" ht="15.75" customHeight="1" x14ac:dyDescent="0.2">
      <c r="B676" s="54"/>
      <c r="C676" s="54"/>
      <c r="D676" s="54"/>
      <c r="E676" s="54"/>
      <c r="F676" s="54"/>
      <c r="G676" s="54"/>
    </row>
    <row r="677" spans="2:7" ht="15.75" customHeight="1" x14ac:dyDescent="0.2">
      <c r="B677" s="54"/>
      <c r="C677" s="54"/>
      <c r="D677" s="54"/>
      <c r="E677" s="54"/>
      <c r="F677" s="54"/>
      <c r="G677" s="54"/>
    </row>
    <row r="678" spans="2:7" ht="15.75" customHeight="1" x14ac:dyDescent="0.2">
      <c r="B678" s="54"/>
      <c r="C678" s="54"/>
      <c r="D678" s="54"/>
      <c r="E678" s="54"/>
      <c r="F678" s="54"/>
      <c r="G678" s="54"/>
    </row>
    <row r="679" spans="2:7" ht="15.75" customHeight="1" x14ac:dyDescent="0.2">
      <c r="B679" s="54"/>
      <c r="C679" s="54"/>
      <c r="D679" s="54"/>
      <c r="E679" s="54"/>
      <c r="F679" s="54"/>
      <c r="G679" s="54"/>
    </row>
    <row r="680" spans="2:7" ht="15.75" customHeight="1" x14ac:dyDescent="0.2">
      <c r="B680" s="54"/>
      <c r="C680" s="54"/>
      <c r="D680" s="54"/>
      <c r="E680" s="54"/>
      <c r="F680" s="54"/>
      <c r="G680" s="54"/>
    </row>
    <row r="681" spans="2:7" ht="15.75" customHeight="1" x14ac:dyDescent="0.2">
      <c r="B681" s="54"/>
      <c r="C681" s="54"/>
      <c r="D681" s="54"/>
      <c r="E681" s="54"/>
      <c r="F681" s="54"/>
      <c r="G681" s="54"/>
    </row>
    <row r="682" spans="2:7" ht="15.75" customHeight="1" x14ac:dyDescent="0.2">
      <c r="B682" s="54"/>
      <c r="C682" s="54"/>
      <c r="D682" s="54"/>
      <c r="E682" s="54"/>
      <c r="F682" s="54"/>
      <c r="G682" s="54"/>
    </row>
    <row r="683" spans="2:7" ht="15.75" customHeight="1" x14ac:dyDescent="0.2">
      <c r="B683" s="54"/>
      <c r="C683" s="54"/>
      <c r="D683" s="54"/>
      <c r="E683" s="54"/>
      <c r="F683" s="54"/>
      <c r="G683" s="54"/>
    </row>
    <row r="684" spans="2:7" ht="15.75" customHeight="1" x14ac:dyDescent="0.2">
      <c r="B684" s="54"/>
      <c r="C684" s="54"/>
      <c r="D684" s="54"/>
      <c r="E684" s="54"/>
      <c r="F684" s="54"/>
      <c r="G684" s="54"/>
    </row>
    <row r="685" spans="2:7" ht="15.75" customHeight="1" x14ac:dyDescent="0.2">
      <c r="B685" s="54"/>
      <c r="C685" s="54"/>
      <c r="D685" s="54"/>
      <c r="E685" s="54"/>
      <c r="F685" s="54"/>
      <c r="G685" s="54"/>
    </row>
    <row r="686" spans="2:7" ht="15.75" customHeight="1" x14ac:dyDescent="0.2">
      <c r="B686" s="54"/>
      <c r="C686" s="54"/>
      <c r="D686" s="54"/>
      <c r="E686" s="54"/>
      <c r="F686" s="54"/>
      <c r="G686" s="54"/>
    </row>
    <row r="687" spans="2:7" ht="15.75" customHeight="1" x14ac:dyDescent="0.2">
      <c r="B687" s="54"/>
      <c r="C687" s="54"/>
      <c r="D687" s="54"/>
      <c r="E687" s="54"/>
      <c r="F687" s="54"/>
      <c r="G687" s="54"/>
    </row>
    <row r="688" spans="2:7" ht="15.75" customHeight="1" x14ac:dyDescent="0.2">
      <c r="B688" s="54"/>
      <c r="C688" s="54"/>
      <c r="D688" s="54"/>
      <c r="E688" s="54"/>
      <c r="F688" s="54"/>
      <c r="G688" s="54"/>
    </row>
    <row r="689" spans="2:7" ht="15.75" customHeight="1" x14ac:dyDescent="0.2">
      <c r="B689" s="54"/>
      <c r="C689" s="54"/>
      <c r="D689" s="54"/>
      <c r="E689" s="54"/>
      <c r="F689" s="54"/>
      <c r="G689" s="54"/>
    </row>
    <row r="690" spans="2:7" ht="15.75" customHeight="1" x14ac:dyDescent="0.2">
      <c r="B690" s="54"/>
      <c r="C690" s="54"/>
      <c r="D690" s="54"/>
      <c r="E690" s="54"/>
      <c r="F690" s="54"/>
      <c r="G690" s="54"/>
    </row>
    <row r="691" spans="2:7" ht="15.75" customHeight="1" x14ac:dyDescent="0.2">
      <c r="B691" s="54"/>
      <c r="C691" s="54"/>
      <c r="D691" s="54"/>
      <c r="E691" s="54"/>
      <c r="F691" s="54"/>
      <c r="G691" s="54"/>
    </row>
    <row r="692" spans="2:7" ht="15.75" customHeight="1" x14ac:dyDescent="0.2">
      <c r="B692" s="54"/>
      <c r="C692" s="54"/>
      <c r="D692" s="54"/>
      <c r="E692" s="54"/>
      <c r="F692" s="54"/>
      <c r="G692" s="54"/>
    </row>
    <row r="693" spans="2:7" ht="15.75" customHeight="1" x14ac:dyDescent="0.2">
      <c r="B693" s="54"/>
      <c r="C693" s="54"/>
      <c r="D693" s="54"/>
      <c r="E693" s="54"/>
      <c r="F693" s="54"/>
      <c r="G693" s="54"/>
    </row>
    <row r="694" spans="2:7" ht="15.75" customHeight="1" x14ac:dyDescent="0.2">
      <c r="B694" s="54"/>
      <c r="C694" s="54"/>
      <c r="D694" s="54"/>
      <c r="E694" s="54"/>
      <c r="F694" s="54"/>
      <c r="G694" s="54"/>
    </row>
    <row r="695" spans="2:7" ht="15.75" customHeight="1" x14ac:dyDescent="0.2">
      <c r="B695" s="54"/>
      <c r="C695" s="54"/>
      <c r="D695" s="54"/>
      <c r="E695" s="54"/>
      <c r="F695" s="54"/>
      <c r="G695" s="54"/>
    </row>
    <row r="696" spans="2:7" ht="15.75" customHeight="1" x14ac:dyDescent="0.2">
      <c r="B696" s="54"/>
      <c r="C696" s="54"/>
      <c r="D696" s="54"/>
      <c r="E696" s="54"/>
      <c r="F696" s="54"/>
      <c r="G696" s="54"/>
    </row>
    <row r="697" spans="2:7" ht="15.75" customHeight="1" x14ac:dyDescent="0.2">
      <c r="B697" s="54"/>
      <c r="C697" s="54"/>
      <c r="D697" s="54"/>
      <c r="E697" s="54"/>
      <c r="F697" s="54"/>
      <c r="G697" s="54"/>
    </row>
    <row r="698" spans="2:7" ht="15.75" customHeight="1" x14ac:dyDescent="0.2">
      <c r="B698" s="54"/>
      <c r="C698" s="54"/>
      <c r="D698" s="54"/>
      <c r="E698" s="54"/>
      <c r="F698" s="54"/>
      <c r="G698" s="54"/>
    </row>
    <row r="699" spans="2:7" ht="15.75" customHeight="1" x14ac:dyDescent="0.2">
      <c r="B699" s="54"/>
      <c r="C699" s="54"/>
      <c r="D699" s="54"/>
      <c r="E699" s="54"/>
      <c r="F699" s="54"/>
      <c r="G699" s="54"/>
    </row>
    <row r="700" spans="2:7" ht="15.75" customHeight="1" x14ac:dyDescent="0.2">
      <c r="B700" s="54"/>
      <c r="C700" s="54"/>
      <c r="D700" s="54"/>
      <c r="E700" s="54"/>
      <c r="F700" s="54"/>
      <c r="G700" s="54"/>
    </row>
    <row r="701" spans="2:7" ht="15.75" customHeight="1" x14ac:dyDescent="0.2">
      <c r="B701" s="54"/>
      <c r="C701" s="54"/>
      <c r="D701" s="54"/>
      <c r="E701" s="54"/>
      <c r="F701" s="54"/>
      <c r="G701" s="54"/>
    </row>
    <row r="702" spans="2:7" ht="15.75" customHeight="1" x14ac:dyDescent="0.2">
      <c r="B702" s="54"/>
      <c r="C702" s="54"/>
      <c r="D702" s="54"/>
      <c r="E702" s="54"/>
      <c r="F702" s="54"/>
      <c r="G702" s="54"/>
    </row>
    <row r="703" spans="2:7" ht="15.75" customHeight="1" x14ac:dyDescent="0.2">
      <c r="B703" s="54"/>
      <c r="C703" s="54"/>
      <c r="D703" s="54"/>
      <c r="E703" s="54"/>
      <c r="F703" s="54"/>
      <c r="G703" s="54"/>
    </row>
    <row r="704" spans="2:7" ht="15.75" customHeight="1" x14ac:dyDescent="0.2">
      <c r="B704" s="54"/>
      <c r="C704" s="54"/>
      <c r="D704" s="54"/>
      <c r="E704" s="54"/>
      <c r="F704" s="54"/>
      <c r="G704" s="54"/>
    </row>
    <row r="705" spans="2:7" ht="15.75" customHeight="1" x14ac:dyDescent="0.2">
      <c r="B705" s="54"/>
      <c r="C705" s="54"/>
      <c r="D705" s="54"/>
      <c r="E705" s="54"/>
      <c r="F705" s="54"/>
      <c r="G705" s="54"/>
    </row>
    <row r="706" spans="2:7" ht="15.75" customHeight="1" x14ac:dyDescent="0.2">
      <c r="B706" s="54"/>
      <c r="C706" s="54"/>
      <c r="D706" s="54"/>
      <c r="E706" s="54"/>
      <c r="F706" s="54"/>
      <c r="G706" s="54"/>
    </row>
    <row r="707" spans="2:7" ht="15.75" customHeight="1" x14ac:dyDescent="0.2">
      <c r="B707" s="54"/>
      <c r="C707" s="54"/>
      <c r="D707" s="54"/>
      <c r="E707" s="54"/>
      <c r="F707" s="54"/>
      <c r="G707" s="54"/>
    </row>
    <row r="708" spans="2:7" ht="15.75" customHeight="1" x14ac:dyDescent="0.2">
      <c r="B708" s="54"/>
      <c r="C708" s="54"/>
      <c r="D708" s="54"/>
      <c r="E708" s="54"/>
      <c r="F708" s="54"/>
      <c r="G708" s="54"/>
    </row>
    <row r="709" spans="2:7" ht="15.75" customHeight="1" x14ac:dyDescent="0.2">
      <c r="B709" s="54"/>
      <c r="C709" s="54"/>
      <c r="D709" s="54"/>
      <c r="E709" s="54"/>
      <c r="F709" s="54"/>
      <c r="G709" s="54"/>
    </row>
    <row r="710" spans="2:7" ht="15.75" customHeight="1" x14ac:dyDescent="0.2">
      <c r="B710" s="54"/>
      <c r="C710" s="54"/>
      <c r="D710" s="54"/>
      <c r="E710" s="54"/>
      <c r="F710" s="54"/>
      <c r="G710" s="54"/>
    </row>
    <row r="711" spans="2:7" ht="15.75" customHeight="1" x14ac:dyDescent="0.2">
      <c r="B711" s="54"/>
      <c r="C711" s="54"/>
      <c r="D711" s="54"/>
      <c r="E711" s="54"/>
      <c r="F711" s="54"/>
      <c r="G711" s="54"/>
    </row>
    <row r="712" spans="2:7" ht="15.75" customHeight="1" x14ac:dyDescent="0.2">
      <c r="B712" s="54"/>
      <c r="C712" s="54"/>
      <c r="D712" s="54"/>
      <c r="E712" s="54"/>
      <c r="F712" s="54"/>
      <c r="G712" s="54"/>
    </row>
    <row r="713" spans="2:7" ht="15.75" customHeight="1" x14ac:dyDescent="0.2">
      <c r="B713" s="54"/>
      <c r="C713" s="54"/>
      <c r="D713" s="54"/>
      <c r="E713" s="54"/>
      <c r="F713" s="54"/>
      <c r="G713" s="54"/>
    </row>
    <row r="714" spans="2:7" ht="15.75" customHeight="1" x14ac:dyDescent="0.2">
      <c r="B714" s="54"/>
      <c r="C714" s="54"/>
      <c r="D714" s="54"/>
      <c r="E714" s="54"/>
      <c r="F714" s="54"/>
      <c r="G714" s="54"/>
    </row>
    <row r="715" spans="2:7" ht="15.75" customHeight="1" x14ac:dyDescent="0.2">
      <c r="B715" s="54"/>
      <c r="C715" s="54"/>
      <c r="D715" s="54"/>
      <c r="E715" s="54"/>
      <c r="F715" s="54"/>
      <c r="G715" s="54"/>
    </row>
    <row r="716" spans="2:7" ht="15.75" customHeight="1" x14ac:dyDescent="0.2">
      <c r="B716" s="54"/>
      <c r="C716" s="54"/>
      <c r="D716" s="54"/>
      <c r="E716" s="54"/>
      <c r="F716" s="54"/>
      <c r="G716" s="54"/>
    </row>
    <row r="717" spans="2:7" ht="15.75" customHeight="1" x14ac:dyDescent="0.2">
      <c r="B717" s="54"/>
      <c r="C717" s="54"/>
      <c r="D717" s="54"/>
      <c r="E717" s="54"/>
      <c r="F717" s="54"/>
      <c r="G717" s="54"/>
    </row>
    <row r="718" spans="2:7" ht="15.75" customHeight="1" x14ac:dyDescent="0.2">
      <c r="B718" s="54"/>
      <c r="C718" s="54"/>
      <c r="D718" s="54"/>
      <c r="E718" s="54"/>
      <c r="F718" s="54"/>
      <c r="G718" s="54"/>
    </row>
    <row r="719" spans="2:7" ht="15.75" customHeight="1" x14ac:dyDescent="0.2">
      <c r="B719" s="54"/>
      <c r="C719" s="54"/>
      <c r="D719" s="54"/>
      <c r="E719" s="54"/>
      <c r="F719" s="54"/>
      <c r="G719" s="54"/>
    </row>
    <row r="720" spans="2:7" ht="15.75" customHeight="1" x14ac:dyDescent="0.2">
      <c r="B720" s="54"/>
      <c r="C720" s="54"/>
      <c r="D720" s="54"/>
      <c r="E720" s="54"/>
      <c r="F720" s="54"/>
      <c r="G720" s="54"/>
    </row>
    <row r="721" spans="2:7" ht="15.75" customHeight="1" x14ac:dyDescent="0.2">
      <c r="B721" s="54"/>
      <c r="C721" s="54"/>
      <c r="D721" s="54"/>
      <c r="E721" s="54"/>
      <c r="F721" s="54"/>
      <c r="G721" s="54"/>
    </row>
    <row r="722" spans="2:7" ht="15.75" customHeight="1" x14ac:dyDescent="0.2">
      <c r="B722" s="54"/>
      <c r="C722" s="54"/>
      <c r="D722" s="54"/>
      <c r="E722" s="54"/>
      <c r="F722" s="54"/>
      <c r="G722" s="54"/>
    </row>
    <row r="723" spans="2:7" ht="15.75" customHeight="1" x14ac:dyDescent="0.2">
      <c r="B723" s="54"/>
      <c r="C723" s="54"/>
      <c r="D723" s="54"/>
      <c r="E723" s="54"/>
      <c r="F723" s="54"/>
      <c r="G723" s="54"/>
    </row>
    <row r="724" spans="2:7" ht="15.75" customHeight="1" x14ac:dyDescent="0.2">
      <c r="B724" s="54"/>
      <c r="C724" s="54"/>
      <c r="D724" s="54"/>
      <c r="E724" s="54"/>
      <c r="F724" s="54"/>
      <c r="G724" s="54"/>
    </row>
    <row r="725" spans="2:7" ht="15.75" customHeight="1" x14ac:dyDescent="0.2">
      <c r="B725" s="54"/>
      <c r="C725" s="54"/>
      <c r="D725" s="54"/>
      <c r="E725" s="54"/>
      <c r="F725" s="54"/>
      <c r="G725" s="54"/>
    </row>
    <row r="726" spans="2:7" ht="15.75" customHeight="1" x14ac:dyDescent="0.2">
      <c r="B726" s="54"/>
      <c r="C726" s="54"/>
      <c r="D726" s="54"/>
      <c r="E726" s="54"/>
      <c r="F726" s="54"/>
      <c r="G726" s="54"/>
    </row>
    <row r="727" spans="2:7" ht="15.75" customHeight="1" x14ac:dyDescent="0.2">
      <c r="B727" s="54"/>
      <c r="C727" s="54"/>
      <c r="D727" s="54"/>
      <c r="E727" s="54"/>
      <c r="F727" s="54"/>
      <c r="G727" s="54"/>
    </row>
    <row r="728" spans="2:7" ht="15.75" customHeight="1" x14ac:dyDescent="0.2">
      <c r="B728" s="54"/>
      <c r="C728" s="54"/>
      <c r="D728" s="54"/>
      <c r="E728" s="54"/>
      <c r="F728" s="54"/>
      <c r="G728" s="54"/>
    </row>
    <row r="729" spans="2:7" ht="15.75" customHeight="1" x14ac:dyDescent="0.2">
      <c r="B729" s="54"/>
      <c r="C729" s="54"/>
      <c r="D729" s="54"/>
      <c r="E729" s="54"/>
      <c r="F729" s="54"/>
      <c r="G729" s="54"/>
    </row>
    <row r="730" spans="2:7" ht="15.75" customHeight="1" x14ac:dyDescent="0.2">
      <c r="B730" s="54"/>
      <c r="C730" s="54"/>
      <c r="D730" s="54"/>
      <c r="E730" s="54"/>
      <c r="F730" s="54"/>
      <c r="G730" s="54"/>
    </row>
    <row r="731" spans="2:7" ht="15.75" customHeight="1" x14ac:dyDescent="0.2">
      <c r="B731" s="54"/>
      <c r="C731" s="54"/>
      <c r="D731" s="54"/>
      <c r="E731" s="54"/>
      <c r="F731" s="54"/>
      <c r="G731" s="54"/>
    </row>
    <row r="732" spans="2:7" ht="15.75" customHeight="1" x14ac:dyDescent="0.2">
      <c r="B732" s="54"/>
      <c r="C732" s="54"/>
      <c r="D732" s="54"/>
      <c r="E732" s="54"/>
      <c r="F732" s="54"/>
      <c r="G732" s="54"/>
    </row>
    <row r="733" spans="2:7" ht="15.75" customHeight="1" x14ac:dyDescent="0.2">
      <c r="B733" s="54"/>
      <c r="C733" s="54"/>
      <c r="D733" s="54"/>
      <c r="E733" s="54"/>
      <c r="F733" s="54"/>
      <c r="G733" s="54"/>
    </row>
    <row r="734" spans="2:7" ht="15.75" customHeight="1" x14ac:dyDescent="0.2">
      <c r="B734" s="54"/>
      <c r="C734" s="54"/>
      <c r="D734" s="54"/>
      <c r="E734" s="54"/>
      <c r="F734" s="54"/>
      <c r="G734" s="54"/>
    </row>
    <row r="735" spans="2:7" ht="15.75" customHeight="1" x14ac:dyDescent="0.2">
      <c r="B735" s="54"/>
      <c r="C735" s="54"/>
      <c r="D735" s="54"/>
      <c r="E735" s="54"/>
      <c r="F735" s="54"/>
      <c r="G735" s="54"/>
    </row>
    <row r="736" spans="2:7" ht="15.75" customHeight="1" x14ac:dyDescent="0.2">
      <c r="B736" s="54"/>
      <c r="C736" s="54"/>
      <c r="D736" s="54"/>
      <c r="E736" s="54"/>
      <c r="F736" s="54"/>
      <c r="G736" s="54"/>
    </row>
    <row r="737" spans="2:7" ht="15.75" customHeight="1" x14ac:dyDescent="0.2">
      <c r="B737" s="54"/>
      <c r="C737" s="54"/>
      <c r="D737" s="54"/>
      <c r="E737" s="54"/>
      <c r="F737" s="54"/>
      <c r="G737" s="54"/>
    </row>
    <row r="738" spans="2:7" ht="15.75" customHeight="1" x14ac:dyDescent="0.2">
      <c r="B738" s="54"/>
      <c r="C738" s="54"/>
      <c r="D738" s="54"/>
      <c r="E738" s="54"/>
      <c r="F738" s="54"/>
      <c r="G738" s="54"/>
    </row>
    <row r="739" spans="2:7" ht="15.75" customHeight="1" x14ac:dyDescent="0.2">
      <c r="B739" s="54"/>
      <c r="C739" s="54"/>
      <c r="D739" s="54"/>
      <c r="E739" s="54"/>
      <c r="F739" s="54"/>
      <c r="G739" s="54"/>
    </row>
    <row r="740" spans="2:7" ht="15.75" customHeight="1" x14ac:dyDescent="0.2">
      <c r="B740" s="54"/>
      <c r="C740" s="54"/>
      <c r="D740" s="54"/>
      <c r="E740" s="54"/>
      <c r="F740" s="54"/>
      <c r="G740" s="54"/>
    </row>
    <row r="741" spans="2:7" ht="15.75" customHeight="1" x14ac:dyDescent="0.2">
      <c r="B741" s="54"/>
      <c r="C741" s="54"/>
      <c r="D741" s="54"/>
      <c r="E741" s="54"/>
      <c r="F741" s="54"/>
      <c r="G741" s="54"/>
    </row>
    <row r="742" spans="2:7" ht="15.75" customHeight="1" x14ac:dyDescent="0.2">
      <c r="B742" s="54"/>
      <c r="C742" s="54"/>
      <c r="D742" s="54"/>
      <c r="E742" s="54"/>
      <c r="F742" s="54"/>
      <c r="G742" s="54"/>
    </row>
    <row r="743" spans="2:7" ht="15.75" customHeight="1" x14ac:dyDescent="0.2">
      <c r="B743" s="54"/>
      <c r="C743" s="54"/>
      <c r="D743" s="54"/>
      <c r="E743" s="54"/>
      <c r="F743" s="54"/>
      <c r="G743" s="54"/>
    </row>
    <row r="744" spans="2:7" ht="15.75" customHeight="1" x14ac:dyDescent="0.2">
      <c r="B744" s="54"/>
      <c r="C744" s="54"/>
      <c r="D744" s="54"/>
      <c r="E744" s="54"/>
      <c r="F744" s="54"/>
      <c r="G744" s="54"/>
    </row>
    <row r="745" spans="2:7" ht="15.75" customHeight="1" x14ac:dyDescent="0.2">
      <c r="B745" s="54"/>
      <c r="C745" s="54"/>
      <c r="D745" s="54"/>
      <c r="E745" s="54"/>
      <c r="F745" s="54"/>
      <c r="G745" s="54"/>
    </row>
    <row r="746" spans="2:7" ht="15.75" customHeight="1" x14ac:dyDescent="0.2">
      <c r="B746" s="54"/>
      <c r="C746" s="54"/>
      <c r="D746" s="54"/>
      <c r="E746" s="54"/>
      <c r="F746" s="54"/>
      <c r="G746" s="54"/>
    </row>
    <row r="747" spans="2:7" ht="15.75" customHeight="1" x14ac:dyDescent="0.2">
      <c r="B747" s="54"/>
      <c r="C747" s="54"/>
      <c r="D747" s="54"/>
      <c r="E747" s="54"/>
      <c r="F747" s="54"/>
      <c r="G747" s="54"/>
    </row>
    <row r="748" spans="2:7" ht="15.75" customHeight="1" x14ac:dyDescent="0.2">
      <c r="B748" s="54"/>
      <c r="C748" s="54"/>
      <c r="D748" s="54"/>
      <c r="E748" s="54"/>
      <c r="F748" s="54"/>
      <c r="G748" s="54"/>
    </row>
    <row r="749" spans="2:7" ht="15.75" customHeight="1" x14ac:dyDescent="0.2">
      <c r="B749" s="54"/>
      <c r="C749" s="54"/>
      <c r="D749" s="54"/>
      <c r="E749" s="54"/>
      <c r="F749" s="54"/>
      <c r="G749" s="54"/>
    </row>
    <row r="750" spans="2:7" ht="15.75" customHeight="1" x14ac:dyDescent="0.2">
      <c r="B750" s="54"/>
      <c r="C750" s="54"/>
      <c r="D750" s="54"/>
      <c r="E750" s="54"/>
      <c r="F750" s="54"/>
      <c r="G750" s="54"/>
    </row>
    <row r="751" spans="2:7" ht="15.75" customHeight="1" x14ac:dyDescent="0.2">
      <c r="B751" s="54"/>
      <c r="C751" s="54"/>
      <c r="D751" s="54"/>
      <c r="E751" s="54"/>
      <c r="F751" s="54"/>
      <c r="G751" s="54"/>
    </row>
    <row r="752" spans="2:7" ht="15.75" customHeight="1" x14ac:dyDescent="0.2">
      <c r="B752" s="54"/>
      <c r="C752" s="54"/>
      <c r="D752" s="54"/>
      <c r="E752" s="54"/>
      <c r="F752" s="54"/>
      <c r="G752" s="54"/>
    </row>
    <row r="753" spans="2:7" ht="15.75" customHeight="1" x14ac:dyDescent="0.2">
      <c r="B753" s="54"/>
      <c r="C753" s="54"/>
      <c r="D753" s="54"/>
      <c r="E753" s="54"/>
      <c r="F753" s="54"/>
      <c r="G753" s="54"/>
    </row>
    <row r="754" spans="2:7" ht="15.75" customHeight="1" x14ac:dyDescent="0.2">
      <c r="B754" s="54"/>
      <c r="C754" s="54"/>
      <c r="D754" s="54"/>
      <c r="E754" s="54"/>
      <c r="F754" s="54"/>
      <c r="G754" s="54"/>
    </row>
    <row r="755" spans="2:7" ht="15.75" customHeight="1" x14ac:dyDescent="0.2">
      <c r="B755" s="54"/>
      <c r="C755" s="54"/>
      <c r="D755" s="54"/>
      <c r="E755" s="54"/>
      <c r="F755" s="54"/>
      <c r="G755" s="54"/>
    </row>
    <row r="756" spans="2:7" ht="15.75" customHeight="1" x14ac:dyDescent="0.2">
      <c r="B756" s="54"/>
      <c r="C756" s="54"/>
      <c r="D756" s="54"/>
      <c r="E756" s="54"/>
      <c r="F756" s="54"/>
      <c r="G756" s="54"/>
    </row>
    <row r="757" spans="2:7" ht="15.75" customHeight="1" x14ac:dyDescent="0.2">
      <c r="B757" s="54"/>
      <c r="C757" s="54"/>
      <c r="D757" s="54"/>
      <c r="E757" s="54"/>
      <c r="F757" s="54"/>
      <c r="G757" s="54"/>
    </row>
    <row r="758" spans="2:7" ht="15.75" customHeight="1" x14ac:dyDescent="0.2">
      <c r="B758" s="54"/>
      <c r="C758" s="54"/>
      <c r="D758" s="54"/>
      <c r="E758" s="54"/>
      <c r="F758" s="54"/>
      <c r="G758" s="54"/>
    </row>
    <row r="759" spans="2:7" ht="15.75" customHeight="1" x14ac:dyDescent="0.2">
      <c r="B759" s="54"/>
      <c r="C759" s="54"/>
      <c r="D759" s="54"/>
      <c r="E759" s="54"/>
      <c r="F759" s="54"/>
      <c r="G759" s="54"/>
    </row>
    <row r="760" spans="2:7" ht="15.75" customHeight="1" x14ac:dyDescent="0.2">
      <c r="B760" s="54"/>
      <c r="C760" s="54"/>
      <c r="D760" s="54"/>
      <c r="E760" s="54"/>
      <c r="F760" s="54"/>
      <c r="G760" s="54"/>
    </row>
    <row r="761" spans="2:7" ht="15.75" customHeight="1" x14ac:dyDescent="0.2">
      <c r="B761" s="54"/>
      <c r="C761" s="54"/>
      <c r="D761" s="54"/>
      <c r="E761" s="54"/>
      <c r="F761" s="54"/>
      <c r="G761" s="54"/>
    </row>
    <row r="762" spans="2:7" ht="15.75" customHeight="1" x14ac:dyDescent="0.2">
      <c r="B762" s="54"/>
      <c r="C762" s="54"/>
      <c r="D762" s="54"/>
      <c r="E762" s="54"/>
      <c r="F762" s="54"/>
      <c r="G762" s="54"/>
    </row>
    <row r="763" spans="2:7" ht="15.75" customHeight="1" x14ac:dyDescent="0.2">
      <c r="B763" s="54"/>
      <c r="C763" s="54"/>
      <c r="D763" s="54"/>
      <c r="E763" s="54"/>
      <c r="F763" s="54"/>
      <c r="G763" s="54"/>
    </row>
    <row r="764" spans="2:7" ht="15.75" customHeight="1" x14ac:dyDescent="0.2">
      <c r="B764" s="54"/>
      <c r="C764" s="54"/>
      <c r="D764" s="54"/>
      <c r="E764" s="54"/>
      <c r="F764" s="54"/>
      <c r="G764" s="54"/>
    </row>
    <row r="765" spans="2:7" ht="15.75" customHeight="1" x14ac:dyDescent="0.2">
      <c r="B765" s="54"/>
      <c r="C765" s="54"/>
      <c r="D765" s="54"/>
      <c r="E765" s="54"/>
      <c r="F765" s="54"/>
      <c r="G765" s="54"/>
    </row>
    <row r="766" spans="2:7" ht="15.75" customHeight="1" x14ac:dyDescent="0.2">
      <c r="B766" s="54"/>
      <c r="C766" s="54"/>
      <c r="D766" s="54"/>
      <c r="E766" s="54"/>
      <c r="F766" s="54"/>
      <c r="G766" s="54"/>
    </row>
    <row r="767" spans="2:7" ht="15.75" customHeight="1" x14ac:dyDescent="0.2">
      <c r="B767" s="54"/>
      <c r="C767" s="54"/>
      <c r="D767" s="54"/>
      <c r="E767" s="54"/>
      <c r="F767" s="54"/>
      <c r="G767" s="54"/>
    </row>
    <row r="768" spans="2:7" ht="15.75" customHeight="1" x14ac:dyDescent="0.2">
      <c r="B768" s="54"/>
      <c r="C768" s="54"/>
      <c r="D768" s="54"/>
      <c r="E768" s="54"/>
      <c r="F768" s="54"/>
      <c r="G768" s="54"/>
    </row>
    <row r="769" spans="2:7" ht="15.75" customHeight="1" x14ac:dyDescent="0.2">
      <c r="B769" s="54"/>
      <c r="C769" s="54"/>
      <c r="D769" s="54"/>
      <c r="E769" s="54"/>
      <c r="F769" s="54"/>
      <c r="G769" s="54"/>
    </row>
    <row r="770" spans="2:7" ht="15.75" customHeight="1" x14ac:dyDescent="0.2">
      <c r="B770" s="54"/>
      <c r="C770" s="54"/>
      <c r="D770" s="54"/>
      <c r="E770" s="54"/>
      <c r="F770" s="54"/>
      <c r="G770" s="54"/>
    </row>
    <row r="771" spans="2:7" ht="15.75" customHeight="1" x14ac:dyDescent="0.2">
      <c r="B771" s="54"/>
      <c r="C771" s="54"/>
      <c r="D771" s="54"/>
      <c r="E771" s="54"/>
      <c r="F771" s="54"/>
      <c r="G771" s="54"/>
    </row>
    <row r="772" spans="2:7" ht="15.75" customHeight="1" x14ac:dyDescent="0.2">
      <c r="B772" s="54"/>
      <c r="C772" s="54"/>
      <c r="D772" s="54"/>
      <c r="E772" s="54"/>
      <c r="F772" s="54"/>
      <c r="G772" s="54"/>
    </row>
    <row r="773" spans="2:7" ht="15.75" customHeight="1" x14ac:dyDescent="0.2">
      <c r="B773" s="54"/>
      <c r="C773" s="54"/>
      <c r="D773" s="54"/>
      <c r="E773" s="54"/>
      <c r="F773" s="54"/>
      <c r="G773" s="54"/>
    </row>
    <row r="774" spans="2:7" ht="15.75" customHeight="1" x14ac:dyDescent="0.2">
      <c r="B774" s="54"/>
      <c r="C774" s="54"/>
      <c r="D774" s="54"/>
      <c r="E774" s="54"/>
      <c r="F774" s="54"/>
      <c r="G774" s="54"/>
    </row>
    <row r="775" spans="2:7" ht="15.75" customHeight="1" x14ac:dyDescent="0.2">
      <c r="B775" s="54"/>
      <c r="C775" s="54"/>
      <c r="D775" s="54"/>
      <c r="E775" s="54"/>
      <c r="F775" s="54"/>
      <c r="G775" s="54"/>
    </row>
    <row r="776" spans="2:7" ht="15.75" customHeight="1" x14ac:dyDescent="0.2">
      <c r="B776" s="54"/>
      <c r="C776" s="54"/>
      <c r="D776" s="54"/>
      <c r="E776" s="54"/>
      <c r="F776" s="54"/>
      <c r="G776" s="54"/>
    </row>
    <row r="777" spans="2:7" ht="15.75" customHeight="1" x14ac:dyDescent="0.2">
      <c r="B777" s="54"/>
      <c r="C777" s="54"/>
      <c r="D777" s="54"/>
      <c r="E777" s="54"/>
      <c r="F777" s="54"/>
      <c r="G777" s="54"/>
    </row>
    <row r="778" spans="2:7" ht="15.75" customHeight="1" x14ac:dyDescent="0.2">
      <c r="B778" s="54"/>
      <c r="C778" s="54"/>
      <c r="D778" s="54"/>
      <c r="E778" s="54"/>
      <c r="F778" s="54"/>
      <c r="G778" s="54"/>
    </row>
    <row r="779" spans="2:7" ht="15.75" customHeight="1" x14ac:dyDescent="0.2">
      <c r="B779" s="54"/>
      <c r="C779" s="54"/>
      <c r="D779" s="54"/>
      <c r="E779" s="54"/>
      <c r="F779" s="54"/>
      <c r="G779" s="54"/>
    </row>
    <row r="780" spans="2:7" ht="15.75" customHeight="1" x14ac:dyDescent="0.2">
      <c r="B780" s="54"/>
      <c r="C780" s="54"/>
      <c r="D780" s="54"/>
      <c r="E780" s="54"/>
      <c r="F780" s="54"/>
      <c r="G780" s="54"/>
    </row>
    <row r="781" spans="2:7" ht="15.75" customHeight="1" x14ac:dyDescent="0.2">
      <c r="B781" s="54"/>
      <c r="C781" s="54"/>
      <c r="D781" s="54"/>
      <c r="E781" s="54"/>
      <c r="F781" s="54"/>
      <c r="G781" s="54"/>
    </row>
    <row r="782" spans="2:7" ht="15.75" customHeight="1" x14ac:dyDescent="0.2">
      <c r="B782" s="54"/>
      <c r="C782" s="54"/>
      <c r="D782" s="54"/>
      <c r="E782" s="54"/>
      <c r="F782" s="54"/>
      <c r="G782" s="54"/>
    </row>
    <row r="783" spans="2:7" ht="15.75" customHeight="1" x14ac:dyDescent="0.2">
      <c r="B783" s="54"/>
      <c r="C783" s="54"/>
      <c r="D783" s="54"/>
      <c r="E783" s="54"/>
      <c r="F783" s="54"/>
      <c r="G783" s="54"/>
    </row>
    <row r="784" spans="2:7" ht="15.75" customHeight="1" x14ac:dyDescent="0.2">
      <c r="B784" s="54"/>
      <c r="C784" s="54"/>
      <c r="D784" s="54"/>
      <c r="E784" s="54"/>
      <c r="F784" s="54"/>
      <c r="G784" s="54"/>
    </row>
    <row r="785" spans="2:7" ht="15.75" customHeight="1" x14ac:dyDescent="0.2">
      <c r="B785" s="54"/>
      <c r="C785" s="54"/>
      <c r="D785" s="54"/>
      <c r="E785" s="54"/>
      <c r="F785" s="54"/>
      <c r="G785" s="54"/>
    </row>
    <row r="786" spans="2:7" ht="15.75" customHeight="1" x14ac:dyDescent="0.2">
      <c r="B786" s="54"/>
      <c r="C786" s="54"/>
      <c r="D786" s="54"/>
      <c r="E786" s="54"/>
      <c r="F786" s="54"/>
      <c r="G786" s="54"/>
    </row>
    <row r="787" spans="2:7" ht="15.75" customHeight="1" x14ac:dyDescent="0.2">
      <c r="B787" s="54"/>
      <c r="C787" s="54"/>
      <c r="D787" s="54"/>
      <c r="E787" s="54"/>
      <c r="F787" s="54"/>
      <c r="G787" s="54"/>
    </row>
    <row r="788" spans="2:7" ht="15.75" customHeight="1" x14ac:dyDescent="0.2">
      <c r="B788" s="54"/>
      <c r="C788" s="54"/>
      <c r="D788" s="54"/>
      <c r="E788" s="54"/>
      <c r="F788" s="54"/>
      <c r="G788" s="54"/>
    </row>
    <row r="789" spans="2:7" ht="15.75" customHeight="1" x14ac:dyDescent="0.2">
      <c r="B789" s="54"/>
      <c r="C789" s="54"/>
      <c r="D789" s="54"/>
      <c r="E789" s="54"/>
      <c r="F789" s="54"/>
      <c r="G789" s="54"/>
    </row>
    <row r="790" spans="2:7" ht="15.75" customHeight="1" x14ac:dyDescent="0.2">
      <c r="B790" s="54"/>
      <c r="C790" s="54"/>
      <c r="D790" s="54"/>
      <c r="E790" s="54"/>
      <c r="F790" s="54"/>
      <c r="G790" s="54"/>
    </row>
    <row r="791" spans="2:7" ht="15.75" customHeight="1" x14ac:dyDescent="0.2">
      <c r="B791" s="54"/>
      <c r="C791" s="54"/>
      <c r="D791" s="54"/>
      <c r="E791" s="54"/>
      <c r="F791" s="54"/>
      <c r="G791" s="54"/>
    </row>
    <row r="792" spans="2:7" ht="15.75" customHeight="1" x14ac:dyDescent="0.2">
      <c r="B792" s="54"/>
      <c r="C792" s="54"/>
      <c r="D792" s="54"/>
      <c r="E792" s="54"/>
      <c r="F792" s="54"/>
      <c r="G792" s="54"/>
    </row>
    <row r="793" spans="2:7" ht="15.75" customHeight="1" x14ac:dyDescent="0.2">
      <c r="B793" s="54"/>
      <c r="C793" s="54"/>
      <c r="D793" s="54"/>
      <c r="E793" s="54"/>
      <c r="F793" s="54"/>
      <c r="G793" s="54"/>
    </row>
    <row r="794" spans="2:7" ht="15.75" customHeight="1" x14ac:dyDescent="0.2">
      <c r="B794" s="54"/>
      <c r="C794" s="54"/>
      <c r="D794" s="54"/>
      <c r="E794" s="54"/>
      <c r="F794" s="54"/>
      <c r="G794" s="54"/>
    </row>
    <row r="795" spans="2:7" ht="15.75" customHeight="1" x14ac:dyDescent="0.2">
      <c r="B795" s="54"/>
      <c r="C795" s="54"/>
      <c r="D795" s="54"/>
      <c r="E795" s="54"/>
      <c r="F795" s="54"/>
      <c r="G795" s="54"/>
    </row>
    <row r="796" spans="2:7" ht="15.75" customHeight="1" x14ac:dyDescent="0.2">
      <c r="B796" s="54"/>
      <c r="C796" s="54"/>
      <c r="D796" s="54"/>
      <c r="E796" s="54"/>
      <c r="F796" s="54"/>
      <c r="G796" s="54"/>
    </row>
    <row r="797" spans="2:7" ht="15.75" customHeight="1" x14ac:dyDescent="0.2">
      <c r="B797" s="54"/>
      <c r="C797" s="54"/>
      <c r="D797" s="54"/>
      <c r="E797" s="54"/>
      <c r="F797" s="54"/>
      <c r="G797" s="54"/>
    </row>
    <row r="798" spans="2:7" ht="15.75" customHeight="1" x14ac:dyDescent="0.2">
      <c r="B798" s="54"/>
      <c r="C798" s="54"/>
      <c r="D798" s="54"/>
      <c r="E798" s="54"/>
      <c r="F798" s="54"/>
      <c r="G798" s="54"/>
    </row>
    <row r="799" spans="2:7" ht="15.75" customHeight="1" x14ac:dyDescent="0.2">
      <c r="B799" s="54"/>
      <c r="C799" s="54"/>
      <c r="D799" s="54"/>
      <c r="E799" s="54"/>
      <c r="F799" s="54"/>
      <c r="G799" s="54"/>
    </row>
    <row r="800" spans="2:7" ht="15.75" customHeight="1" x14ac:dyDescent="0.2">
      <c r="B800" s="54"/>
      <c r="C800" s="54"/>
      <c r="D800" s="54"/>
      <c r="E800" s="54"/>
      <c r="F800" s="54"/>
      <c r="G800" s="54"/>
    </row>
    <row r="801" spans="2:7" ht="15.75" customHeight="1" x14ac:dyDescent="0.2">
      <c r="B801" s="54"/>
      <c r="C801" s="54"/>
      <c r="D801" s="54"/>
      <c r="E801" s="54"/>
      <c r="F801" s="54"/>
      <c r="G801" s="54"/>
    </row>
    <row r="802" spans="2:7" ht="15.75" customHeight="1" x14ac:dyDescent="0.2">
      <c r="B802" s="54"/>
      <c r="C802" s="54"/>
      <c r="D802" s="54"/>
      <c r="E802" s="54"/>
      <c r="F802" s="54"/>
      <c r="G802" s="54"/>
    </row>
    <row r="803" spans="2:7" ht="15.75" customHeight="1" x14ac:dyDescent="0.2">
      <c r="B803" s="54"/>
      <c r="C803" s="54"/>
      <c r="D803" s="54"/>
      <c r="E803" s="54"/>
      <c r="F803" s="54"/>
      <c r="G803" s="54"/>
    </row>
    <row r="804" spans="2:7" ht="15.75" customHeight="1" x14ac:dyDescent="0.2">
      <c r="B804" s="54"/>
      <c r="C804" s="54"/>
      <c r="D804" s="54"/>
      <c r="E804" s="54"/>
      <c r="F804" s="54"/>
      <c r="G804" s="54"/>
    </row>
    <row r="805" spans="2:7" ht="15.75" customHeight="1" x14ac:dyDescent="0.2">
      <c r="B805" s="54"/>
      <c r="C805" s="54"/>
      <c r="D805" s="54"/>
      <c r="E805" s="54"/>
      <c r="F805" s="54"/>
      <c r="G805" s="54"/>
    </row>
    <row r="806" spans="2:7" ht="15.75" customHeight="1" x14ac:dyDescent="0.2">
      <c r="B806" s="54"/>
      <c r="C806" s="54"/>
      <c r="D806" s="54"/>
      <c r="E806" s="54"/>
      <c r="F806" s="54"/>
      <c r="G806" s="54"/>
    </row>
    <row r="807" spans="2:7" ht="15.75" customHeight="1" x14ac:dyDescent="0.2">
      <c r="B807" s="54"/>
      <c r="C807" s="54"/>
      <c r="D807" s="54"/>
      <c r="E807" s="54"/>
      <c r="F807" s="54"/>
      <c r="G807" s="54"/>
    </row>
    <row r="808" spans="2:7" ht="15.75" customHeight="1" x14ac:dyDescent="0.2">
      <c r="B808" s="54"/>
      <c r="C808" s="54"/>
      <c r="D808" s="54"/>
      <c r="E808" s="54"/>
      <c r="F808" s="54"/>
      <c r="G808" s="54"/>
    </row>
    <row r="809" spans="2:7" ht="15.75" customHeight="1" x14ac:dyDescent="0.2">
      <c r="B809" s="54"/>
      <c r="C809" s="54"/>
      <c r="D809" s="54"/>
      <c r="E809" s="54"/>
      <c r="F809" s="54"/>
      <c r="G809" s="54"/>
    </row>
    <row r="810" spans="2:7" ht="15.75" customHeight="1" x14ac:dyDescent="0.2">
      <c r="B810" s="54"/>
      <c r="C810" s="54"/>
      <c r="D810" s="54"/>
      <c r="E810" s="54"/>
      <c r="F810" s="54"/>
      <c r="G810" s="54"/>
    </row>
    <row r="811" spans="2:7" ht="15.75" customHeight="1" x14ac:dyDescent="0.2">
      <c r="B811" s="54"/>
      <c r="C811" s="54"/>
      <c r="D811" s="54"/>
      <c r="E811" s="54"/>
      <c r="F811" s="54"/>
      <c r="G811" s="54"/>
    </row>
    <row r="812" spans="2:7" ht="15.75" customHeight="1" x14ac:dyDescent="0.2">
      <c r="B812" s="54"/>
      <c r="C812" s="54"/>
      <c r="D812" s="54"/>
      <c r="E812" s="54"/>
      <c r="F812" s="54"/>
      <c r="G812" s="54"/>
    </row>
    <row r="813" spans="2:7" ht="15.75" customHeight="1" x14ac:dyDescent="0.2">
      <c r="B813" s="54"/>
      <c r="C813" s="54"/>
      <c r="D813" s="54"/>
      <c r="E813" s="54"/>
      <c r="F813" s="54"/>
      <c r="G813" s="54"/>
    </row>
    <row r="814" spans="2:7" ht="15.75" customHeight="1" x14ac:dyDescent="0.2">
      <c r="B814" s="54"/>
      <c r="C814" s="54"/>
      <c r="D814" s="54"/>
      <c r="E814" s="54"/>
      <c r="F814" s="54"/>
      <c r="G814" s="54"/>
    </row>
    <row r="815" spans="2:7" ht="15.75" customHeight="1" x14ac:dyDescent="0.2">
      <c r="B815" s="54"/>
      <c r="C815" s="54"/>
      <c r="D815" s="54"/>
      <c r="E815" s="54"/>
      <c r="F815" s="54"/>
      <c r="G815" s="54"/>
    </row>
    <row r="816" spans="2:7" ht="15.75" customHeight="1" x14ac:dyDescent="0.2">
      <c r="B816" s="54"/>
      <c r="C816" s="54"/>
      <c r="D816" s="54"/>
      <c r="E816" s="54"/>
      <c r="F816" s="54"/>
      <c r="G816" s="54"/>
    </row>
    <row r="817" spans="2:7" ht="15.75" customHeight="1" x14ac:dyDescent="0.2">
      <c r="B817" s="54"/>
      <c r="C817" s="54"/>
      <c r="D817" s="54"/>
      <c r="E817" s="54"/>
      <c r="F817" s="54"/>
      <c r="G817" s="54"/>
    </row>
    <row r="818" spans="2:7" ht="15.75" customHeight="1" x14ac:dyDescent="0.2">
      <c r="B818" s="54"/>
      <c r="C818" s="54"/>
      <c r="D818" s="54"/>
      <c r="E818" s="54"/>
      <c r="F818" s="54"/>
      <c r="G818" s="54"/>
    </row>
    <row r="819" spans="2:7" ht="15.75" customHeight="1" x14ac:dyDescent="0.2">
      <c r="B819" s="54"/>
      <c r="C819" s="54"/>
      <c r="D819" s="54"/>
      <c r="E819" s="54"/>
      <c r="F819" s="54"/>
      <c r="G819" s="54"/>
    </row>
    <row r="820" spans="2:7" ht="15.75" customHeight="1" x14ac:dyDescent="0.2">
      <c r="B820" s="54"/>
      <c r="C820" s="54"/>
      <c r="D820" s="54"/>
      <c r="E820" s="54"/>
      <c r="F820" s="54"/>
      <c r="G820" s="54"/>
    </row>
    <row r="821" spans="2:7" ht="15.75" customHeight="1" x14ac:dyDescent="0.2">
      <c r="B821" s="54"/>
      <c r="C821" s="54"/>
      <c r="D821" s="54"/>
      <c r="E821" s="54"/>
      <c r="F821" s="54"/>
      <c r="G821" s="54"/>
    </row>
    <row r="822" spans="2:7" ht="15.75" customHeight="1" x14ac:dyDescent="0.2">
      <c r="B822" s="54"/>
      <c r="C822" s="54"/>
      <c r="D822" s="54"/>
      <c r="E822" s="54"/>
      <c r="F822" s="54"/>
      <c r="G822" s="54"/>
    </row>
    <row r="823" spans="2:7" ht="15.75" customHeight="1" x14ac:dyDescent="0.2">
      <c r="B823" s="54"/>
      <c r="C823" s="54"/>
      <c r="D823" s="54"/>
      <c r="E823" s="54"/>
      <c r="F823" s="54"/>
      <c r="G823" s="54"/>
    </row>
    <row r="824" spans="2:7" ht="15.75" customHeight="1" x14ac:dyDescent="0.2">
      <c r="B824" s="54"/>
      <c r="C824" s="54"/>
      <c r="D824" s="54"/>
      <c r="E824" s="54"/>
      <c r="F824" s="54"/>
      <c r="G824" s="54"/>
    </row>
    <row r="825" spans="2:7" ht="15.75" customHeight="1" x14ac:dyDescent="0.2">
      <c r="B825" s="54"/>
      <c r="C825" s="54"/>
      <c r="D825" s="54"/>
      <c r="E825" s="54"/>
      <c r="F825" s="54"/>
      <c r="G825" s="54"/>
    </row>
    <row r="826" spans="2:7" ht="15.75" customHeight="1" x14ac:dyDescent="0.2">
      <c r="B826" s="54"/>
      <c r="C826" s="54"/>
      <c r="D826" s="54"/>
      <c r="E826" s="54"/>
      <c r="F826" s="54"/>
      <c r="G826" s="54"/>
    </row>
    <row r="827" spans="2:7" ht="15.75" customHeight="1" x14ac:dyDescent="0.2">
      <c r="B827" s="54"/>
      <c r="C827" s="54"/>
      <c r="D827" s="54"/>
      <c r="E827" s="54"/>
      <c r="F827" s="54"/>
      <c r="G827" s="54"/>
    </row>
    <row r="828" spans="2:7" ht="15.75" customHeight="1" x14ac:dyDescent="0.2">
      <c r="B828" s="54"/>
      <c r="C828" s="54"/>
      <c r="D828" s="54"/>
      <c r="E828" s="54"/>
      <c r="F828" s="54"/>
      <c r="G828" s="54"/>
    </row>
    <row r="829" spans="2:7" ht="15.75" customHeight="1" x14ac:dyDescent="0.2">
      <c r="B829" s="54"/>
      <c r="C829" s="54"/>
      <c r="D829" s="54"/>
      <c r="E829" s="54"/>
      <c r="F829" s="54"/>
      <c r="G829" s="54"/>
    </row>
    <row r="830" spans="2:7" ht="15.75" customHeight="1" x14ac:dyDescent="0.2">
      <c r="B830" s="54"/>
      <c r="C830" s="54"/>
      <c r="D830" s="54"/>
      <c r="E830" s="54"/>
      <c r="F830" s="54"/>
      <c r="G830" s="54"/>
    </row>
    <row r="831" spans="2:7" ht="15.75" customHeight="1" x14ac:dyDescent="0.2">
      <c r="B831" s="54"/>
      <c r="C831" s="54"/>
      <c r="D831" s="54"/>
      <c r="E831" s="54"/>
      <c r="F831" s="54"/>
      <c r="G831" s="54"/>
    </row>
    <row r="832" spans="2:7" ht="15.75" customHeight="1" x14ac:dyDescent="0.2">
      <c r="B832" s="54"/>
      <c r="C832" s="54"/>
      <c r="D832" s="54"/>
      <c r="E832" s="54"/>
      <c r="F832" s="54"/>
      <c r="G832" s="54"/>
    </row>
    <row r="833" spans="2:7" ht="15.75" customHeight="1" x14ac:dyDescent="0.2">
      <c r="B833" s="54"/>
      <c r="C833" s="54"/>
      <c r="D833" s="54"/>
      <c r="E833" s="54"/>
      <c r="F833" s="54"/>
      <c r="G833" s="54"/>
    </row>
    <row r="834" spans="2:7" ht="15.75" customHeight="1" x14ac:dyDescent="0.2">
      <c r="B834" s="54"/>
      <c r="C834" s="54"/>
      <c r="D834" s="54"/>
      <c r="E834" s="54"/>
      <c r="F834" s="54"/>
      <c r="G834" s="54"/>
    </row>
    <row r="835" spans="2:7" ht="15.75" customHeight="1" x14ac:dyDescent="0.2">
      <c r="B835" s="54"/>
      <c r="C835" s="54"/>
      <c r="D835" s="54"/>
      <c r="E835" s="54"/>
      <c r="F835" s="54"/>
      <c r="G835" s="54"/>
    </row>
    <row r="836" spans="2:7" ht="15.75" customHeight="1" x14ac:dyDescent="0.2">
      <c r="B836" s="54"/>
      <c r="C836" s="54"/>
      <c r="D836" s="54"/>
      <c r="E836" s="54"/>
      <c r="F836" s="54"/>
      <c r="G836" s="54"/>
    </row>
    <row r="837" spans="2:7" ht="15.75" customHeight="1" x14ac:dyDescent="0.2">
      <c r="B837" s="54"/>
      <c r="C837" s="54"/>
      <c r="D837" s="54"/>
      <c r="E837" s="54"/>
      <c r="F837" s="54"/>
      <c r="G837" s="54"/>
    </row>
    <row r="838" spans="2:7" ht="15.75" customHeight="1" x14ac:dyDescent="0.2">
      <c r="B838" s="54"/>
      <c r="C838" s="54"/>
      <c r="D838" s="54"/>
      <c r="E838" s="54"/>
      <c r="F838" s="54"/>
      <c r="G838" s="54"/>
    </row>
    <row r="839" spans="2:7" ht="15.75" customHeight="1" x14ac:dyDescent="0.2">
      <c r="B839" s="54"/>
      <c r="C839" s="54"/>
      <c r="D839" s="54"/>
      <c r="E839" s="54"/>
      <c r="F839" s="54"/>
      <c r="G839" s="54"/>
    </row>
    <row r="840" spans="2:7" ht="15.75" customHeight="1" x14ac:dyDescent="0.2">
      <c r="B840" s="54"/>
      <c r="C840" s="54"/>
      <c r="D840" s="54"/>
      <c r="E840" s="54"/>
      <c r="F840" s="54"/>
      <c r="G840" s="54"/>
    </row>
    <row r="841" spans="2:7" ht="15.75" customHeight="1" x14ac:dyDescent="0.2">
      <c r="B841" s="54"/>
      <c r="C841" s="54"/>
      <c r="D841" s="54"/>
      <c r="E841" s="54"/>
      <c r="F841" s="54"/>
      <c r="G841" s="54"/>
    </row>
    <row r="842" spans="2:7" ht="15.75" customHeight="1" x14ac:dyDescent="0.2">
      <c r="B842" s="54"/>
      <c r="C842" s="54"/>
      <c r="D842" s="54"/>
      <c r="E842" s="54"/>
      <c r="F842" s="54"/>
      <c r="G842" s="54"/>
    </row>
    <row r="843" spans="2:7" ht="15.75" customHeight="1" x14ac:dyDescent="0.2">
      <c r="B843" s="54"/>
      <c r="C843" s="54"/>
      <c r="D843" s="54"/>
      <c r="E843" s="54"/>
      <c r="F843" s="54"/>
      <c r="G843" s="54"/>
    </row>
    <row r="844" spans="2:7" ht="15.75" customHeight="1" x14ac:dyDescent="0.2">
      <c r="B844" s="54"/>
      <c r="C844" s="54"/>
      <c r="D844" s="54"/>
      <c r="E844" s="54"/>
      <c r="F844" s="54"/>
      <c r="G844" s="54"/>
    </row>
    <row r="845" spans="2:7" ht="15.75" customHeight="1" x14ac:dyDescent="0.2">
      <c r="B845" s="54"/>
      <c r="C845" s="54"/>
      <c r="D845" s="54"/>
      <c r="E845" s="54"/>
      <c r="F845" s="54"/>
      <c r="G845" s="54"/>
    </row>
    <row r="846" spans="2:7" ht="15.75" customHeight="1" x14ac:dyDescent="0.2">
      <c r="B846" s="54"/>
      <c r="C846" s="54"/>
      <c r="D846" s="54"/>
      <c r="E846" s="54"/>
      <c r="F846" s="54"/>
      <c r="G846" s="54"/>
    </row>
    <row r="847" spans="2:7" ht="15.75" customHeight="1" x14ac:dyDescent="0.2">
      <c r="B847" s="54"/>
      <c r="C847" s="54"/>
      <c r="D847" s="54"/>
      <c r="E847" s="54"/>
      <c r="F847" s="54"/>
      <c r="G847" s="54"/>
    </row>
    <row r="848" spans="2:7" ht="15.75" customHeight="1" x14ac:dyDescent="0.2">
      <c r="B848" s="54"/>
      <c r="C848" s="54"/>
      <c r="D848" s="54"/>
      <c r="E848" s="54"/>
      <c r="F848" s="54"/>
      <c r="G848" s="54"/>
    </row>
    <row r="849" spans="2:7" ht="15.75" customHeight="1" x14ac:dyDescent="0.2">
      <c r="B849" s="54"/>
      <c r="C849" s="54"/>
      <c r="D849" s="54"/>
      <c r="E849" s="54"/>
      <c r="F849" s="54"/>
      <c r="G849" s="54"/>
    </row>
    <row r="850" spans="2:7" ht="15.75" customHeight="1" x14ac:dyDescent="0.2">
      <c r="B850" s="54"/>
      <c r="C850" s="54"/>
      <c r="D850" s="54"/>
      <c r="E850" s="54"/>
      <c r="F850" s="54"/>
      <c r="G850" s="54"/>
    </row>
    <row r="851" spans="2:7" ht="15.75" customHeight="1" x14ac:dyDescent="0.2">
      <c r="B851" s="54"/>
      <c r="C851" s="54"/>
      <c r="D851" s="54"/>
      <c r="E851" s="54"/>
      <c r="F851" s="54"/>
      <c r="G851" s="54"/>
    </row>
    <row r="852" spans="2:7" ht="15.75" customHeight="1" x14ac:dyDescent="0.2">
      <c r="B852" s="54"/>
      <c r="C852" s="54"/>
      <c r="D852" s="54"/>
      <c r="E852" s="54"/>
      <c r="F852" s="54"/>
      <c r="G852" s="54"/>
    </row>
    <row r="853" spans="2:7" ht="15.75" customHeight="1" x14ac:dyDescent="0.2">
      <c r="B853" s="54"/>
      <c r="C853" s="54"/>
      <c r="D853" s="54"/>
      <c r="E853" s="54"/>
      <c r="F853" s="54"/>
      <c r="G853" s="54"/>
    </row>
    <row r="854" spans="2:7" ht="15.75" customHeight="1" x14ac:dyDescent="0.2">
      <c r="B854" s="54"/>
      <c r="C854" s="54"/>
      <c r="D854" s="54"/>
      <c r="E854" s="54"/>
      <c r="F854" s="54"/>
      <c r="G854" s="54"/>
    </row>
    <row r="855" spans="2:7" ht="15.75" customHeight="1" x14ac:dyDescent="0.2">
      <c r="B855" s="54"/>
      <c r="C855" s="54"/>
      <c r="D855" s="54"/>
      <c r="E855" s="54"/>
      <c r="F855" s="54"/>
      <c r="G855" s="54"/>
    </row>
    <row r="856" spans="2:7" ht="15.75" customHeight="1" x14ac:dyDescent="0.2">
      <c r="B856" s="54"/>
      <c r="C856" s="54"/>
      <c r="D856" s="54"/>
      <c r="E856" s="54"/>
      <c r="F856" s="54"/>
      <c r="G856" s="54"/>
    </row>
    <row r="857" spans="2:7" ht="15.75" customHeight="1" x14ac:dyDescent="0.2">
      <c r="B857" s="54"/>
      <c r="C857" s="54"/>
      <c r="D857" s="54"/>
      <c r="E857" s="54"/>
      <c r="F857" s="54"/>
      <c r="G857" s="54"/>
    </row>
    <row r="858" spans="2:7" ht="15.75" customHeight="1" x14ac:dyDescent="0.2">
      <c r="B858" s="54"/>
      <c r="C858" s="54"/>
      <c r="D858" s="54"/>
      <c r="E858" s="54"/>
      <c r="F858" s="54"/>
      <c r="G858" s="54"/>
    </row>
    <row r="859" spans="2:7" ht="15.75" customHeight="1" x14ac:dyDescent="0.2">
      <c r="B859" s="54"/>
      <c r="C859" s="54"/>
      <c r="D859" s="54"/>
      <c r="E859" s="54"/>
      <c r="F859" s="54"/>
      <c r="G859" s="54"/>
    </row>
    <row r="860" spans="2:7" ht="15.75" customHeight="1" x14ac:dyDescent="0.2">
      <c r="B860" s="54"/>
      <c r="C860" s="54"/>
      <c r="D860" s="54"/>
      <c r="E860" s="54"/>
      <c r="F860" s="54"/>
      <c r="G860" s="54"/>
    </row>
    <row r="861" spans="2:7" ht="15.75" customHeight="1" x14ac:dyDescent="0.2">
      <c r="B861" s="54"/>
      <c r="C861" s="54"/>
      <c r="D861" s="54"/>
      <c r="E861" s="54"/>
      <c r="F861" s="54"/>
      <c r="G861" s="54"/>
    </row>
    <row r="862" spans="2:7" ht="15.75" customHeight="1" x14ac:dyDescent="0.2">
      <c r="B862" s="54"/>
      <c r="C862" s="54"/>
      <c r="D862" s="54"/>
      <c r="E862" s="54"/>
      <c r="F862" s="54"/>
      <c r="G862" s="54"/>
    </row>
    <row r="863" spans="2:7" ht="15.75" customHeight="1" x14ac:dyDescent="0.2">
      <c r="B863" s="54"/>
      <c r="C863" s="54"/>
      <c r="D863" s="54"/>
      <c r="E863" s="54"/>
      <c r="F863" s="54"/>
      <c r="G863" s="54"/>
    </row>
    <row r="864" spans="2:7" ht="15.75" customHeight="1" x14ac:dyDescent="0.2">
      <c r="B864" s="54"/>
      <c r="C864" s="54"/>
      <c r="D864" s="54"/>
      <c r="E864" s="54"/>
      <c r="F864" s="54"/>
      <c r="G864" s="54"/>
    </row>
    <row r="865" spans="2:7" ht="15.75" customHeight="1" x14ac:dyDescent="0.2">
      <c r="B865" s="54"/>
      <c r="C865" s="54"/>
      <c r="D865" s="54"/>
      <c r="E865" s="54"/>
      <c r="F865" s="54"/>
      <c r="G865" s="54"/>
    </row>
    <row r="866" spans="2:7" ht="15.75" customHeight="1" x14ac:dyDescent="0.2">
      <c r="B866" s="54"/>
      <c r="C866" s="54"/>
      <c r="D866" s="54"/>
      <c r="E866" s="54"/>
      <c r="F866" s="54"/>
      <c r="G866" s="54"/>
    </row>
    <row r="867" spans="2:7" ht="15.75" customHeight="1" x14ac:dyDescent="0.2">
      <c r="B867" s="54"/>
      <c r="C867" s="54"/>
      <c r="D867" s="54"/>
      <c r="E867" s="54"/>
      <c r="F867" s="54"/>
      <c r="G867" s="54"/>
    </row>
    <row r="868" spans="2:7" ht="15.75" customHeight="1" x14ac:dyDescent="0.2">
      <c r="B868" s="54"/>
      <c r="C868" s="54"/>
      <c r="D868" s="54"/>
      <c r="E868" s="54"/>
      <c r="F868" s="54"/>
      <c r="G868" s="54"/>
    </row>
    <row r="869" spans="2:7" ht="15.75" customHeight="1" x14ac:dyDescent="0.2">
      <c r="B869" s="54"/>
      <c r="C869" s="54"/>
      <c r="D869" s="54"/>
      <c r="E869" s="54"/>
      <c r="F869" s="54"/>
      <c r="G869" s="54"/>
    </row>
    <row r="870" spans="2:7" ht="15.75" customHeight="1" x14ac:dyDescent="0.2">
      <c r="B870" s="54"/>
      <c r="C870" s="54"/>
      <c r="D870" s="54"/>
      <c r="E870" s="54"/>
      <c r="F870" s="54"/>
      <c r="G870" s="54"/>
    </row>
    <row r="871" spans="2:7" ht="15.75" customHeight="1" x14ac:dyDescent="0.2">
      <c r="B871" s="54"/>
      <c r="C871" s="54"/>
      <c r="D871" s="54"/>
      <c r="E871" s="54"/>
      <c r="F871" s="54"/>
      <c r="G871" s="54"/>
    </row>
    <row r="872" spans="2:7" ht="15.75" customHeight="1" x14ac:dyDescent="0.2">
      <c r="B872" s="54"/>
      <c r="C872" s="54"/>
      <c r="D872" s="54"/>
      <c r="E872" s="54"/>
      <c r="F872" s="54"/>
      <c r="G872" s="54"/>
    </row>
    <row r="873" spans="2:7" ht="15.75" customHeight="1" x14ac:dyDescent="0.2">
      <c r="B873" s="54"/>
      <c r="C873" s="54"/>
      <c r="D873" s="54"/>
      <c r="E873" s="54"/>
      <c r="F873" s="54"/>
      <c r="G873" s="54"/>
    </row>
    <row r="874" spans="2:7" ht="15.75" customHeight="1" x14ac:dyDescent="0.2">
      <c r="B874" s="54"/>
      <c r="C874" s="54"/>
      <c r="D874" s="54"/>
      <c r="E874" s="54"/>
      <c r="F874" s="54"/>
      <c r="G874" s="54"/>
    </row>
    <row r="875" spans="2:7" ht="15.75" customHeight="1" x14ac:dyDescent="0.2">
      <c r="B875" s="54"/>
      <c r="C875" s="54"/>
      <c r="D875" s="54"/>
      <c r="E875" s="54"/>
      <c r="F875" s="54"/>
      <c r="G875" s="54"/>
    </row>
    <row r="876" spans="2:7" ht="15.75" customHeight="1" x14ac:dyDescent="0.2">
      <c r="B876" s="54"/>
      <c r="C876" s="54"/>
      <c r="D876" s="54"/>
      <c r="E876" s="54"/>
      <c r="F876" s="54"/>
      <c r="G876" s="54"/>
    </row>
    <row r="877" spans="2:7" ht="15.75" customHeight="1" x14ac:dyDescent="0.2">
      <c r="B877" s="54"/>
      <c r="C877" s="54"/>
      <c r="D877" s="54"/>
      <c r="E877" s="54"/>
      <c r="F877" s="54"/>
      <c r="G877" s="54"/>
    </row>
    <row r="878" spans="2:7" ht="15.75" customHeight="1" x14ac:dyDescent="0.2">
      <c r="B878" s="54"/>
      <c r="C878" s="54"/>
      <c r="D878" s="54"/>
      <c r="E878" s="54"/>
      <c r="F878" s="54"/>
      <c r="G878" s="54"/>
    </row>
    <row r="879" spans="2:7" ht="15.75" customHeight="1" x14ac:dyDescent="0.2">
      <c r="B879" s="54"/>
      <c r="C879" s="54"/>
      <c r="D879" s="54"/>
      <c r="E879" s="54"/>
      <c r="F879" s="54"/>
      <c r="G879" s="54"/>
    </row>
    <row r="880" spans="2:7" ht="15.75" customHeight="1" x14ac:dyDescent="0.2">
      <c r="B880" s="54"/>
      <c r="C880" s="54"/>
      <c r="D880" s="54"/>
      <c r="E880" s="54"/>
      <c r="F880" s="54"/>
      <c r="G880" s="54"/>
    </row>
    <row r="881" spans="2:7" ht="15.75" customHeight="1" x14ac:dyDescent="0.2">
      <c r="B881" s="54"/>
      <c r="C881" s="54"/>
      <c r="D881" s="54"/>
      <c r="E881" s="54"/>
      <c r="F881" s="54"/>
      <c r="G881" s="54"/>
    </row>
    <row r="882" spans="2:7" ht="15.75" customHeight="1" x14ac:dyDescent="0.2">
      <c r="B882" s="54"/>
      <c r="C882" s="54"/>
      <c r="D882" s="54"/>
      <c r="E882" s="54"/>
      <c r="F882" s="54"/>
      <c r="G882" s="54"/>
    </row>
    <row r="883" spans="2:7" ht="15.75" customHeight="1" x14ac:dyDescent="0.2">
      <c r="B883" s="54"/>
      <c r="C883" s="54"/>
      <c r="D883" s="54"/>
      <c r="E883" s="54"/>
      <c r="F883" s="54"/>
      <c r="G883" s="54"/>
    </row>
    <row r="884" spans="2:7" ht="15.75" customHeight="1" x14ac:dyDescent="0.2">
      <c r="B884" s="54"/>
      <c r="C884" s="54"/>
      <c r="D884" s="54"/>
      <c r="E884" s="54"/>
      <c r="F884" s="54"/>
      <c r="G884" s="54"/>
    </row>
    <row r="885" spans="2:7" ht="15.75" customHeight="1" x14ac:dyDescent="0.2">
      <c r="B885" s="54"/>
      <c r="C885" s="54"/>
      <c r="D885" s="54"/>
      <c r="E885" s="54"/>
      <c r="F885" s="54"/>
      <c r="G885" s="54"/>
    </row>
    <row r="886" spans="2:7" ht="15.75" customHeight="1" x14ac:dyDescent="0.2">
      <c r="B886" s="54"/>
      <c r="C886" s="54"/>
      <c r="D886" s="54"/>
      <c r="E886" s="54"/>
      <c r="F886" s="54"/>
      <c r="G886" s="54"/>
    </row>
    <row r="887" spans="2:7" ht="15.75" customHeight="1" x14ac:dyDescent="0.2">
      <c r="B887" s="54"/>
      <c r="C887" s="54"/>
      <c r="D887" s="54"/>
      <c r="E887" s="54"/>
      <c r="F887" s="54"/>
      <c r="G887" s="54"/>
    </row>
    <row r="888" spans="2:7" ht="15.75" customHeight="1" x14ac:dyDescent="0.2">
      <c r="B888" s="54"/>
      <c r="C888" s="54"/>
      <c r="D888" s="54"/>
      <c r="E888" s="54"/>
      <c r="F888" s="54"/>
      <c r="G888" s="54"/>
    </row>
    <row r="889" spans="2:7" ht="15.75" customHeight="1" x14ac:dyDescent="0.2">
      <c r="B889" s="54"/>
      <c r="C889" s="54"/>
      <c r="D889" s="54"/>
      <c r="E889" s="54"/>
      <c r="F889" s="54"/>
      <c r="G889" s="54"/>
    </row>
    <row r="890" spans="2:7" ht="15.75" customHeight="1" x14ac:dyDescent="0.2">
      <c r="B890" s="54"/>
      <c r="C890" s="54"/>
      <c r="D890" s="54"/>
      <c r="E890" s="54"/>
      <c r="F890" s="54"/>
      <c r="G890" s="54"/>
    </row>
    <row r="891" spans="2:7" ht="15.75" customHeight="1" x14ac:dyDescent="0.2">
      <c r="B891" s="54"/>
      <c r="C891" s="54"/>
      <c r="D891" s="54"/>
      <c r="E891" s="54"/>
      <c r="F891" s="54"/>
      <c r="G891" s="54"/>
    </row>
    <row r="892" spans="2:7" ht="15.75" customHeight="1" x14ac:dyDescent="0.2">
      <c r="B892" s="54"/>
      <c r="C892" s="54"/>
      <c r="D892" s="54"/>
      <c r="E892" s="54"/>
      <c r="F892" s="54"/>
      <c r="G892" s="54"/>
    </row>
    <row r="893" spans="2:7" ht="15.75" customHeight="1" x14ac:dyDescent="0.2">
      <c r="B893" s="54"/>
      <c r="C893" s="54"/>
      <c r="D893" s="54"/>
      <c r="E893" s="54"/>
      <c r="F893" s="54"/>
      <c r="G893" s="54"/>
    </row>
    <row r="894" spans="2:7" ht="15.75" customHeight="1" x14ac:dyDescent="0.2">
      <c r="B894" s="54"/>
      <c r="C894" s="54"/>
      <c r="D894" s="54"/>
      <c r="E894" s="54"/>
      <c r="F894" s="54"/>
      <c r="G894" s="54"/>
    </row>
    <row r="895" spans="2:7" ht="15.75" customHeight="1" x14ac:dyDescent="0.2">
      <c r="B895" s="54"/>
      <c r="C895" s="54"/>
      <c r="D895" s="54"/>
      <c r="E895" s="54"/>
      <c r="F895" s="54"/>
      <c r="G895" s="54"/>
    </row>
    <row r="896" spans="2:7" ht="15.75" customHeight="1" x14ac:dyDescent="0.2">
      <c r="B896" s="54"/>
      <c r="C896" s="54"/>
      <c r="D896" s="54"/>
      <c r="E896" s="54"/>
      <c r="F896" s="54"/>
      <c r="G896" s="54"/>
    </row>
    <row r="897" spans="2:7" ht="15.75" customHeight="1" x14ac:dyDescent="0.2">
      <c r="B897" s="54"/>
      <c r="C897" s="54"/>
      <c r="D897" s="54"/>
      <c r="E897" s="54"/>
      <c r="F897" s="54"/>
      <c r="G897" s="54"/>
    </row>
    <row r="898" spans="2:7" ht="15.75" customHeight="1" x14ac:dyDescent="0.2">
      <c r="B898" s="54"/>
      <c r="C898" s="54"/>
      <c r="D898" s="54"/>
      <c r="E898" s="54"/>
      <c r="F898" s="54"/>
      <c r="G898" s="54"/>
    </row>
    <row r="899" spans="2:7" ht="15.75" customHeight="1" x14ac:dyDescent="0.2">
      <c r="B899" s="54"/>
      <c r="C899" s="54"/>
      <c r="D899" s="54"/>
      <c r="E899" s="54"/>
      <c r="F899" s="54"/>
      <c r="G899" s="54"/>
    </row>
    <row r="900" spans="2:7" ht="15.75" customHeight="1" x14ac:dyDescent="0.2">
      <c r="B900" s="54"/>
      <c r="C900" s="54"/>
      <c r="D900" s="54"/>
      <c r="E900" s="54"/>
      <c r="F900" s="54"/>
      <c r="G900" s="54"/>
    </row>
    <row r="901" spans="2:7" ht="15.75" customHeight="1" x14ac:dyDescent="0.2">
      <c r="B901" s="54"/>
      <c r="C901" s="54"/>
      <c r="D901" s="54"/>
      <c r="E901" s="54"/>
      <c r="F901" s="54"/>
      <c r="G901" s="54"/>
    </row>
    <row r="902" spans="2:7" ht="15.75" customHeight="1" x14ac:dyDescent="0.2">
      <c r="B902" s="54"/>
      <c r="C902" s="54"/>
      <c r="D902" s="54"/>
      <c r="E902" s="54"/>
      <c r="F902" s="54"/>
      <c r="G902" s="54"/>
    </row>
    <row r="903" spans="2:7" ht="15.75" customHeight="1" x14ac:dyDescent="0.2">
      <c r="B903" s="54"/>
      <c r="C903" s="54"/>
      <c r="D903" s="54"/>
      <c r="E903" s="54"/>
      <c r="F903" s="54"/>
      <c r="G903" s="54"/>
    </row>
    <row r="904" spans="2:7" ht="15.75" customHeight="1" x14ac:dyDescent="0.2">
      <c r="B904" s="54"/>
      <c r="C904" s="54"/>
      <c r="D904" s="54"/>
      <c r="E904" s="54"/>
      <c r="F904" s="54"/>
      <c r="G904" s="54"/>
    </row>
    <row r="905" spans="2:7" ht="15.75" customHeight="1" x14ac:dyDescent="0.2">
      <c r="B905" s="54"/>
      <c r="C905" s="54"/>
      <c r="D905" s="54"/>
      <c r="E905" s="54"/>
      <c r="F905" s="54"/>
      <c r="G905" s="54"/>
    </row>
    <row r="906" spans="2:7" ht="15.75" customHeight="1" x14ac:dyDescent="0.2">
      <c r="B906" s="54"/>
      <c r="C906" s="54"/>
      <c r="D906" s="54"/>
      <c r="E906" s="54"/>
      <c r="F906" s="54"/>
      <c r="G906" s="54"/>
    </row>
    <row r="907" spans="2:7" ht="15.75" customHeight="1" x14ac:dyDescent="0.2">
      <c r="B907" s="54"/>
      <c r="C907" s="54"/>
      <c r="D907" s="54"/>
      <c r="E907" s="54"/>
      <c r="F907" s="54"/>
      <c r="G907" s="54"/>
    </row>
    <row r="908" spans="2:7" ht="15.75" customHeight="1" x14ac:dyDescent="0.2">
      <c r="B908" s="54"/>
      <c r="C908" s="54"/>
      <c r="D908" s="54"/>
      <c r="E908" s="54"/>
      <c r="F908" s="54"/>
      <c r="G908" s="54"/>
    </row>
    <row r="909" spans="2:7" ht="15.75" customHeight="1" x14ac:dyDescent="0.2">
      <c r="B909" s="54"/>
      <c r="C909" s="54"/>
      <c r="D909" s="54"/>
      <c r="E909" s="54"/>
      <c r="F909" s="54"/>
      <c r="G909" s="54"/>
    </row>
    <row r="910" spans="2:7" ht="15.75" customHeight="1" x14ac:dyDescent="0.2">
      <c r="B910" s="54"/>
      <c r="C910" s="54"/>
      <c r="D910" s="54"/>
      <c r="E910" s="54"/>
      <c r="F910" s="54"/>
      <c r="G910" s="54"/>
    </row>
    <row r="911" spans="2:7" ht="15.75" customHeight="1" x14ac:dyDescent="0.2">
      <c r="B911" s="54"/>
      <c r="C911" s="54"/>
      <c r="D911" s="54"/>
      <c r="E911" s="54"/>
      <c r="F911" s="54"/>
      <c r="G911" s="54"/>
    </row>
    <row r="912" spans="2:7" ht="15.75" customHeight="1" x14ac:dyDescent="0.2">
      <c r="B912" s="54"/>
      <c r="C912" s="54"/>
      <c r="D912" s="54"/>
      <c r="E912" s="54"/>
      <c r="F912" s="54"/>
      <c r="G912" s="54"/>
    </row>
    <row r="913" spans="2:7" ht="15.75" customHeight="1" x14ac:dyDescent="0.2">
      <c r="B913" s="54"/>
      <c r="C913" s="54"/>
      <c r="D913" s="54"/>
      <c r="E913" s="54"/>
      <c r="F913" s="54"/>
      <c r="G913" s="54"/>
    </row>
    <row r="914" spans="2:7" ht="15.75" customHeight="1" x14ac:dyDescent="0.2">
      <c r="B914" s="54"/>
      <c r="C914" s="54"/>
      <c r="D914" s="54"/>
      <c r="E914" s="54"/>
      <c r="F914" s="54"/>
      <c r="G914" s="54"/>
    </row>
    <row r="915" spans="2:7" ht="15.75" customHeight="1" x14ac:dyDescent="0.2">
      <c r="B915" s="54"/>
      <c r="C915" s="54"/>
      <c r="D915" s="54"/>
      <c r="E915" s="54"/>
      <c r="F915" s="54"/>
      <c r="G915" s="54"/>
    </row>
    <row r="916" spans="2:7" ht="15.75" customHeight="1" x14ac:dyDescent="0.2">
      <c r="B916" s="54"/>
      <c r="C916" s="54"/>
      <c r="D916" s="54"/>
      <c r="E916" s="54"/>
      <c r="F916" s="54"/>
      <c r="G916" s="54"/>
    </row>
    <row r="917" spans="2:7" ht="15.75" customHeight="1" x14ac:dyDescent="0.2">
      <c r="B917" s="54"/>
      <c r="C917" s="54"/>
      <c r="D917" s="54"/>
      <c r="E917" s="54"/>
      <c r="F917" s="54"/>
      <c r="G917" s="54"/>
    </row>
    <row r="918" spans="2:7" ht="15.75" customHeight="1" x14ac:dyDescent="0.2">
      <c r="B918" s="54"/>
      <c r="C918" s="54"/>
      <c r="D918" s="54"/>
      <c r="E918" s="54"/>
      <c r="F918" s="54"/>
      <c r="G918" s="54"/>
    </row>
    <row r="919" spans="2:7" ht="15.75" customHeight="1" x14ac:dyDescent="0.2">
      <c r="B919" s="54"/>
      <c r="C919" s="54"/>
      <c r="D919" s="54"/>
      <c r="E919" s="54"/>
      <c r="F919" s="54"/>
      <c r="G919" s="54"/>
    </row>
    <row r="920" spans="2:7" ht="15.75" customHeight="1" x14ac:dyDescent="0.2">
      <c r="B920" s="54"/>
      <c r="C920" s="54"/>
      <c r="D920" s="54"/>
      <c r="E920" s="54"/>
      <c r="F920" s="54"/>
      <c r="G920" s="54"/>
    </row>
    <row r="921" spans="2:7" ht="15.75" customHeight="1" x14ac:dyDescent="0.2">
      <c r="B921" s="54"/>
      <c r="C921" s="54"/>
      <c r="D921" s="54"/>
      <c r="E921" s="54"/>
      <c r="F921" s="54"/>
      <c r="G921" s="54"/>
    </row>
    <row r="922" spans="2:7" ht="15.75" customHeight="1" x14ac:dyDescent="0.2">
      <c r="B922" s="54"/>
      <c r="C922" s="54"/>
      <c r="D922" s="54"/>
      <c r="E922" s="54"/>
      <c r="F922" s="54"/>
      <c r="G922" s="54"/>
    </row>
    <row r="923" spans="2:7" ht="15.75" customHeight="1" x14ac:dyDescent="0.2">
      <c r="B923" s="54"/>
      <c r="C923" s="54"/>
      <c r="D923" s="54"/>
      <c r="E923" s="54"/>
      <c r="F923" s="54"/>
      <c r="G923" s="54"/>
    </row>
    <row r="924" spans="2:7" ht="15.75" customHeight="1" x14ac:dyDescent="0.2">
      <c r="B924" s="54"/>
      <c r="C924" s="54"/>
      <c r="D924" s="54"/>
      <c r="E924" s="54"/>
      <c r="F924" s="54"/>
      <c r="G924" s="54"/>
    </row>
    <row r="925" spans="2:7" ht="15.75" customHeight="1" x14ac:dyDescent="0.2">
      <c r="B925" s="54"/>
      <c r="C925" s="54"/>
      <c r="D925" s="54"/>
      <c r="E925" s="54"/>
      <c r="F925" s="54"/>
      <c r="G925" s="54"/>
    </row>
    <row r="926" spans="2:7" ht="15.75" customHeight="1" x14ac:dyDescent="0.2">
      <c r="B926" s="54"/>
      <c r="C926" s="54"/>
      <c r="D926" s="54"/>
      <c r="E926" s="54"/>
      <c r="F926" s="54"/>
      <c r="G926" s="54"/>
    </row>
    <row r="927" spans="2:7" ht="15.75" customHeight="1" x14ac:dyDescent="0.2">
      <c r="B927" s="54"/>
      <c r="C927" s="54"/>
      <c r="D927" s="54"/>
      <c r="E927" s="54"/>
      <c r="F927" s="54"/>
      <c r="G927" s="54"/>
    </row>
    <row r="928" spans="2:7" ht="15.75" customHeight="1" x14ac:dyDescent="0.2">
      <c r="B928" s="54"/>
      <c r="C928" s="54"/>
      <c r="D928" s="54"/>
      <c r="E928" s="54"/>
      <c r="F928" s="54"/>
      <c r="G928" s="54"/>
    </row>
    <row r="929" spans="2:7" ht="15.75" customHeight="1" x14ac:dyDescent="0.2">
      <c r="B929" s="54"/>
      <c r="C929" s="54"/>
      <c r="D929" s="54"/>
      <c r="E929" s="54"/>
      <c r="F929" s="54"/>
      <c r="G929" s="54"/>
    </row>
    <row r="930" spans="2:7" ht="15.75" customHeight="1" x14ac:dyDescent="0.2">
      <c r="B930" s="54"/>
      <c r="C930" s="54"/>
      <c r="D930" s="54"/>
      <c r="E930" s="54"/>
      <c r="F930" s="54"/>
      <c r="G930" s="54"/>
    </row>
    <row r="931" spans="2:7" ht="15.75" customHeight="1" x14ac:dyDescent="0.2">
      <c r="B931" s="54"/>
      <c r="C931" s="54"/>
      <c r="D931" s="54"/>
      <c r="E931" s="54"/>
      <c r="F931" s="54"/>
      <c r="G931" s="54"/>
    </row>
    <row r="932" spans="2:7" ht="15.75" customHeight="1" x14ac:dyDescent="0.2">
      <c r="B932" s="54"/>
      <c r="C932" s="54"/>
      <c r="D932" s="54"/>
      <c r="E932" s="54"/>
      <c r="F932" s="54"/>
      <c r="G932" s="54"/>
    </row>
    <row r="933" spans="2:7" ht="15.75" customHeight="1" x14ac:dyDescent="0.2">
      <c r="B933" s="54"/>
      <c r="C933" s="54"/>
      <c r="D933" s="54"/>
      <c r="E933" s="54"/>
      <c r="F933" s="54"/>
      <c r="G933" s="54"/>
    </row>
    <row r="934" spans="2:7" ht="15.75" customHeight="1" x14ac:dyDescent="0.2">
      <c r="B934" s="54"/>
      <c r="C934" s="54"/>
      <c r="D934" s="54"/>
      <c r="E934" s="54"/>
      <c r="F934" s="54"/>
      <c r="G934" s="54"/>
    </row>
    <row r="935" spans="2:7" ht="15.75" customHeight="1" x14ac:dyDescent="0.2">
      <c r="B935" s="54"/>
      <c r="C935" s="54"/>
      <c r="D935" s="54"/>
      <c r="E935" s="54"/>
      <c r="F935" s="54"/>
      <c r="G935" s="54"/>
    </row>
    <row r="936" spans="2:7" ht="15.75" customHeight="1" x14ac:dyDescent="0.2">
      <c r="B936" s="54"/>
      <c r="C936" s="54"/>
      <c r="D936" s="54"/>
      <c r="E936" s="54"/>
      <c r="F936" s="54"/>
      <c r="G936" s="54"/>
    </row>
    <row r="937" spans="2:7" ht="15.75" customHeight="1" x14ac:dyDescent="0.2">
      <c r="B937" s="54"/>
      <c r="C937" s="54"/>
      <c r="D937" s="54"/>
      <c r="E937" s="54"/>
      <c r="F937" s="54"/>
      <c r="G937" s="54"/>
    </row>
    <row r="938" spans="2:7" ht="15.75" customHeight="1" x14ac:dyDescent="0.2">
      <c r="B938" s="54"/>
      <c r="C938" s="54"/>
      <c r="D938" s="54"/>
      <c r="E938" s="54"/>
      <c r="F938" s="54"/>
      <c r="G938" s="54"/>
    </row>
    <row r="939" spans="2:7" ht="15.75" customHeight="1" x14ac:dyDescent="0.2">
      <c r="B939" s="54"/>
      <c r="C939" s="54"/>
      <c r="D939" s="54"/>
      <c r="E939" s="54"/>
      <c r="F939" s="54"/>
      <c r="G939" s="54"/>
    </row>
    <row r="940" spans="2:7" ht="15.75" customHeight="1" x14ac:dyDescent="0.2">
      <c r="B940" s="54"/>
      <c r="C940" s="54"/>
      <c r="D940" s="54"/>
      <c r="E940" s="54"/>
      <c r="F940" s="54"/>
      <c r="G940" s="54"/>
    </row>
    <row r="941" spans="2:7" ht="15.75" customHeight="1" x14ac:dyDescent="0.2">
      <c r="B941" s="54"/>
      <c r="C941" s="54"/>
      <c r="D941" s="54"/>
      <c r="E941" s="54"/>
      <c r="F941" s="54"/>
      <c r="G941" s="54"/>
    </row>
    <row r="942" spans="2:7" ht="15.75" customHeight="1" x14ac:dyDescent="0.2">
      <c r="B942" s="54"/>
      <c r="C942" s="54"/>
      <c r="D942" s="54"/>
      <c r="E942" s="54"/>
      <c r="F942" s="54"/>
      <c r="G942" s="54"/>
    </row>
    <row r="943" spans="2:7" ht="15.75" customHeight="1" x14ac:dyDescent="0.2">
      <c r="B943" s="54"/>
      <c r="C943" s="54"/>
      <c r="D943" s="54"/>
      <c r="E943" s="54"/>
      <c r="F943" s="54"/>
      <c r="G943" s="54"/>
    </row>
    <row r="944" spans="2:7" ht="15.75" customHeight="1" x14ac:dyDescent="0.2">
      <c r="B944" s="54"/>
      <c r="C944" s="54"/>
      <c r="D944" s="54"/>
      <c r="E944" s="54"/>
      <c r="F944" s="54"/>
      <c r="G944" s="54"/>
    </row>
    <row r="945" spans="2:7" ht="15.75" customHeight="1" x14ac:dyDescent="0.2">
      <c r="B945" s="54"/>
      <c r="C945" s="54"/>
      <c r="D945" s="54"/>
      <c r="E945" s="54"/>
      <c r="F945" s="54"/>
      <c r="G945" s="54"/>
    </row>
    <row r="946" spans="2:7" ht="15.75" customHeight="1" x14ac:dyDescent="0.2">
      <c r="B946" s="54"/>
      <c r="C946" s="54"/>
      <c r="D946" s="54"/>
      <c r="E946" s="54"/>
      <c r="F946" s="54"/>
      <c r="G946" s="54"/>
    </row>
    <row r="947" spans="2:7" ht="15.75" customHeight="1" x14ac:dyDescent="0.2">
      <c r="B947" s="54"/>
      <c r="C947" s="54"/>
      <c r="D947" s="54"/>
      <c r="E947" s="54"/>
      <c r="F947" s="54"/>
      <c r="G947" s="54"/>
    </row>
    <row r="948" spans="2:7" ht="15.75" customHeight="1" x14ac:dyDescent="0.2">
      <c r="B948" s="54"/>
      <c r="C948" s="54"/>
      <c r="D948" s="54"/>
      <c r="E948" s="54"/>
      <c r="F948" s="54"/>
      <c r="G948" s="54"/>
    </row>
    <row r="949" spans="2:7" ht="15.75" customHeight="1" x14ac:dyDescent="0.2">
      <c r="B949" s="54"/>
      <c r="C949" s="54"/>
      <c r="D949" s="54"/>
      <c r="E949" s="54"/>
      <c r="F949" s="54"/>
      <c r="G949" s="54"/>
    </row>
    <row r="950" spans="2:7" ht="15.75" customHeight="1" x14ac:dyDescent="0.2">
      <c r="B950" s="54"/>
      <c r="C950" s="54"/>
      <c r="D950" s="54"/>
      <c r="E950" s="54"/>
      <c r="F950" s="54"/>
      <c r="G950" s="54"/>
    </row>
    <row r="951" spans="2:7" ht="15.75" customHeight="1" x14ac:dyDescent="0.2">
      <c r="B951" s="54"/>
      <c r="C951" s="54"/>
      <c r="D951" s="54"/>
      <c r="E951" s="54"/>
      <c r="F951" s="54"/>
      <c r="G951" s="54"/>
    </row>
    <row r="952" spans="2:7" ht="15.75" customHeight="1" x14ac:dyDescent="0.2">
      <c r="B952" s="54"/>
      <c r="C952" s="54"/>
      <c r="D952" s="54"/>
      <c r="E952" s="54"/>
      <c r="F952" s="54"/>
      <c r="G952" s="54"/>
    </row>
    <row r="953" spans="2:7" ht="15.75" customHeight="1" x14ac:dyDescent="0.2">
      <c r="B953" s="54"/>
      <c r="C953" s="54"/>
      <c r="D953" s="54"/>
      <c r="E953" s="54"/>
      <c r="F953" s="54"/>
      <c r="G953" s="54"/>
    </row>
    <row r="954" spans="2:7" ht="15.75" customHeight="1" x14ac:dyDescent="0.2">
      <c r="B954" s="54"/>
      <c r="C954" s="54"/>
      <c r="D954" s="54"/>
      <c r="E954" s="54"/>
      <c r="F954" s="54"/>
      <c r="G954" s="54"/>
    </row>
    <row r="955" spans="2:7" ht="15.75" customHeight="1" x14ac:dyDescent="0.2">
      <c r="B955" s="54"/>
      <c r="C955" s="54"/>
      <c r="D955" s="54"/>
      <c r="E955" s="54"/>
      <c r="F955" s="54"/>
      <c r="G955" s="54"/>
    </row>
    <row r="956" spans="2:7" ht="15.75" customHeight="1" x14ac:dyDescent="0.2">
      <c r="B956" s="54"/>
      <c r="C956" s="54"/>
      <c r="D956" s="54"/>
      <c r="E956" s="54"/>
      <c r="F956" s="54"/>
      <c r="G956" s="54"/>
    </row>
    <row r="957" spans="2:7" ht="15.75" customHeight="1" x14ac:dyDescent="0.2">
      <c r="B957" s="54"/>
      <c r="C957" s="54"/>
      <c r="D957" s="54"/>
      <c r="E957" s="54"/>
      <c r="F957" s="54"/>
      <c r="G957" s="54"/>
    </row>
    <row r="958" spans="2:7" ht="15.75" customHeight="1" x14ac:dyDescent="0.2">
      <c r="B958" s="54"/>
      <c r="C958" s="54"/>
      <c r="D958" s="54"/>
      <c r="E958" s="54"/>
      <c r="F958" s="54"/>
      <c r="G958" s="54"/>
    </row>
    <row r="959" spans="2:7" ht="15.75" customHeight="1" x14ac:dyDescent="0.2">
      <c r="B959" s="54"/>
      <c r="C959" s="54"/>
      <c r="D959" s="54"/>
      <c r="E959" s="54"/>
      <c r="F959" s="54"/>
      <c r="G959" s="54"/>
    </row>
    <row r="960" spans="2:7" ht="15.75" customHeight="1" x14ac:dyDescent="0.2">
      <c r="B960" s="54"/>
      <c r="C960" s="54"/>
      <c r="D960" s="54"/>
      <c r="E960" s="54"/>
      <c r="F960" s="54"/>
      <c r="G960" s="54"/>
    </row>
    <row r="961" spans="2:7" ht="15.75" customHeight="1" x14ac:dyDescent="0.2">
      <c r="B961" s="54"/>
      <c r="C961" s="54"/>
      <c r="D961" s="54"/>
      <c r="E961" s="54"/>
      <c r="F961" s="54"/>
      <c r="G961" s="54"/>
    </row>
    <row r="962" spans="2:7" ht="15.75" customHeight="1" x14ac:dyDescent="0.2">
      <c r="B962" s="54"/>
      <c r="C962" s="54"/>
      <c r="D962" s="54"/>
      <c r="E962" s="54"/>
      <c r="F962" s="54"/>
      <c r="G962" s="54"/>
    </row>
    <row r="963" spans="2:7" ht="15.75" customHeight="1" x14ac:dyDescent="0.2">
      <c r="B963" s="54"/>
      <c r="C963" s="54"/>
      <c r="D963" s="54"/>
      <c r="E963" s="54"/>
      <c r="F963" s="54"/>
      <c r="G963" s="54"/>
    </row>
    <row r="964" spans="2:7" ht="15.75" customHeight="1" x14ac:dyDescent="0.2">
      <c r="B964" s="54"/>
      <c r="C964" s="54"/>
      <c r="D964" s="54"/>
      <c r="E964" s="54"/>
      <c r="F964" s="54"/>
      <c r="G964" s="54"/>
    </row>
    <row r="965" spans="2:7" ht="15.75" customHeight="1" x14ac:dyDescent="0.2">
      <c r="B965" s="54"/>
      <c r="C965" s="54"/>
      <c r="D965" s="54"/>
      <c r="E965" s="54"/>
      <c r="F965" s="54"/>
      <c r="G965" s="54"/>
    </row>
    <row r="966" spans="2:7" ht="15.75" customHeight="1" x14ac:dyDescent="0.2">
      <c r="B966" s="54"/>
      <c r="C966" s="54"/>
      <c r="D966" s="54"/>
      <c r="E966" s="54"/>
      <c r="F966" s="54"/>
      <c r="G966" s="54"/>
    </row>
    <row r="967" spans="2:7" ht="15.75" customHeight="1" x14ac:dyDescent="0.2">
      <c r="B967" s="54"/>
      <c r="C967" s="54"/>
      <c r="D967" s="54"/>
      <c r="E967" s="54"/>
      <c r="F967" s="54"/>
      <c r="G967" s="54"/>
    </row>
    <row r="968" spans="2:7" ht="15.75" customHeight="1" x14ac:dyDescent="0.2">
      <c r="B968" s="54"/>
      <c r="C968" s="54"/>
      <c r="D968" s="54"/>
      <c r="E968" s="54"/>
      <c r="F968" s="54"/>
      <c r="G968" s="54"/>
    </row>
    <row r="969" spans="2:7" ht="15.75" customHeight="1" x14ac:dyDescent="0.2">
      <c r="B969" s="54"/>
      <c r="C969" s="54"/>
      <c r="D969" s="54"/>
      <c r="E969" s="54"/>
      <c r="F969" s="54"/>
      <c r="G969" s="54"/>
    </row>
    <row r="970" spans="2:7" ht="15.75" customHeight="1" x14ac:dyDescent="0.2">
      <c r="B970" s="54"/>
      <c r="C970" s="54"/>
      <c r="D970" s="54"/>
      <c r="E970" s="54"/>
      <c r="F970" s="54"/>
      <c r="G970" s="54"/>
    </row>
    <row r="971" spans="2:7" ht="15.75" customHeight="1" x14ac:dyDescent="0.2">
      <c r="B971" s="54"/>
      <c r="C971" s="54"/>
      <c r="D971" s="54"/>
      <c r="E971" s="54"/>
      <c r="F971" s="54"/>
      <c r="G971" s="54"/>
    </row>
    <row r="972" spans="2:7" ht="15.75" customHeight="1" x14ac:dyDescent="0.2">
      <c r="B972" s="54"/>
      <c r="C972" s="54"/>
      <c r="D972" s="54"/>
      <c r="E972" s="54"/>
      <c r="F972" s="54"/>
      <c r="G972" s="54"/>
    </row>
    <row r="973" spans="2:7" ht="15.75" customHeight="1" x14ac:dyDescent="0.2">
      <c r="B973" s="54"/>
      <c r="C973" s="54"/>
      <c r="D973" s="54"/>
      <c r="E973" s="54"/>
      <c r="F973" s="54"/>
      <c r="G973" s="54"/>
    </row>
    <row r="974" spans="2:7" ht="15.75" customHeight="1" x14ac:dyDescent="0.2">
      <c r="B974" s="54"/>
      <c r="C974" s="54"/>
      <c r="D974" s="54"/>
      <c r="E974" s="54"/>
      <c r="F974" s="54"/>
      <c r="G974" s="54"/>
    </row>
    <row r="975" spans="2:7" ht="15.75" customHeight="1" x14ac:dyDescent="0.2">
      <c r="B975" s="54"/>
      <c r="C975" s="54"/>
      <c r="D975" s="54"/>
      <c r="E975" s="54"/>
      <c r="F975" s="54"/>
      <c r="G975" s="54"/>
    </row>
    <row r="976" spans="2:7" ht="15.75" customHeight="1" x14ac:dyDescent="0.2">
      <c r="B976" s="54"/>
      <c r="C976" s="54"/>
      <c r="D976" s="54"/>
      <c r="E976" s="54"/>
      <c r="F976" s="54"/>
      <c r="G976" s="54"/>
    </row>
    <row r="977" spans="2:7" ht="15.75" customHeight="1" x14ac:dyDescent="0.2">
      <c r="B977" s="54"/>
      <c r="C977" s="54"/>
      <c r="D977" s="54"/>
      <c r="E977" s="54"/>
      <c r="F977" s="54"/>
      <c r="G977" s="54"/>
    </row>
    <row r="978" spans="2:7" ht="15.75" customHeight="1" x14ac:dyDescent="0.2">
      <c r="B978" s="54"/>
      <c r="C978" s="54"/>
      <c r="D978" s="54"/>
      <c r="E978" s="54"/>
      <c r="F978" s="54"/>
      <c r="G978" s="54"/>
    </row>
    <row r="979" spans="2:7" ht="15.75" customHeight="1" x14ac:dyDescent="0.2">
      <c r="B979" s="54"/>
      <c r="C979" s="54"/>
      <c r="D979" s="54"/>
      <c r="E979" s="54"/>
      <c r="F979" s="54"/>
      <c r="G979" s="54"/>
    </row>
    <row r="980" spans="2:7" ht="15.75" customHeight="1" x14ac:dyDescent="0.2">
      <c r="B980" s="54"/>
      <c r="C980" s="54"/>
      <c r="D980" s="54"/>
      <c r="E980" s="54"/>
      <c r="F980" s="54"/>
      <c r="G980" s="54"/>
    </row>
    <row r="981" spans="2:7" ht="15.75" customHeight="1" x14ac:dyDescent="0.2">
      <c r="B981" s="54"/>
      <c r="C981" s="54"/>
      <c r="D981" s="54"/>
      <c r="E981" s="54"/>
      <c r="F981" s="54"/>
      <c r="G981" s="54"/>
    </row>
    <row r="982" spans="2:7" ht="15.75" customHeight="1" x14ac:dyDescent="0.2">
      <c r="B982" s="54"/>
      <c r="C982" s="54"/>
      <c r="D982" s="54"/>
      <c r="E982" s="54"/>
      <c r="F982" s="54"/>
      <c r="G982" s="54"/>
    </row>
    <row r="983" spans="2:7" ht="15.75" customHeight="1" x14ac:dyDescent="0.2">
      <c r="B983" s="54"/>
      <c r="C983" s="54"/>
      <c r="D983" s="54"/>
      <c r="E983" s="54"/>
      <c r="F983" s="54"/>
      <c r="G983" s="54"/>
    </row>
    <row r="984" spans="2:7" ht="15.75" customHeight="1" x14ac:dyDescent="0.2">
      <c r="B984" s="54"/>
      <c r="C984" s="54"/>
      <c r="D984" s="54"/>
      <c r="E984" s="54"/>
      <c r="F984" s="54"/>
      <c r="G984" s="54"/>
    </row>
    <row r="985" spans="2:7" ht="15.75" customHeight="1" x14ac:dyDescent="0.2">
      <c r="B985" s="54"/>
      <c r="C985" s="54"/>
      <c r="D985" s="54"/>
      <c r="E985" s="54"/>
      <c r="F985" s="54"/>
      <c r="G985" s="54"/>
    </row>
    <row r="986" spans="2:7" ht="15.75" customHeight="1" x14ac:dyDescent="0.2">
      <c r="B986" s="54"/>
      <c r="C986" s="54"/>
      <c r="D986" s="54"/>
      <c r="E986" s="54"/>
      <c r="F986" s="54"/>
      <c r="G986" s="54"/>
    </row>
    <row r="987" spans="2:7" ht="15.75" customHeight="1" x14ac:dyDescent="0.2">
      <c r="B987" s="54"/>
      <c r="C987" s="54"/>
      <c r="D987" s="54"/>
      <c r="E987" s="54"/>
      <c r="F987" s="54"/>
      <c r="G987" s="54"/>
    </row>
    <row r="988" spans="2:7" ht="15.75" customHeight="1" x14ac:dyDescent="0.2">
      <c r="B988" s="54"/>
      <c r="C988" s="54"/>
      <c r="D988" s="54"/>
      <c r="E988" s="54"/>
      <c r="F988" s="54"/>
      <c r="G988" s="54"/>
    </row>
    <row r="989" spans="2:7" ht="15.75" customHeight="1" x14ac:dyDescent="0.2">
      <c r="B989" s="54"/>
      <c r="C989" s="54"/>
      <c r="D989" s="54"/>
      <c r="E989" s="54"/>
      <c r="F989" s="54"/>
      <c r="G989" s="54"/>
    </row>
    <row r="990" spans="2:7" ht="15.75" customHeight="1" x14ac:dyDescent="0.2">
      <c r="B990" s="54"/>
      <c r="C990" s="54"/>
      <c r="D990" s="54"/>
      <c r="E990" s="54"/>
      <c r="F990" s="54"/>
      <c r="G990" s="54"/>
    </row>
    <row r="991" spans="2:7" ht="15.75" customHeight="1" x14ac:dyDescent="0.2">
      <c r="B991" s="54"/>
      <c r="C991" s="54"/>
      <c r="D991" s="54"/>
      <c r="E991" s="54"/>
      <c r="F991" s="54"/>
      <c r="G991" s="54"/>
    </row>
    <row r="992" spans="2:7" ht="15.75" customHeight="1" x14ac:dyDescent="0.2">
      <c r="B992" s="54"/>
      <c r="C992" s="54"/>
      <c r="D992" s="54"/>
      <c r="E992" s="54"/>
      <c r="F992" s="54"/>
      <c r="G992" s="54"/>
    </row>
    <row r="993" spans="2:7" ht="15.75" customHeight="1" x14ac:dyDescent="0.2">
      <c r="B993" s="54"/>
      <c r="C993" s="54"/>
      <c r="D993" s="54"/>
      <c r="E993" s="54"/>
      <c r="F993" s="54"/>
      <c r="G993" s="54"/>
    </row>
    <row r="994" spans="2:7" ht="15.75" customHeight="1" x14ac:dyDescent="0.2">
      <c r="B994" s="54"/>
      <c r="C994" s="54"/>
      <c r="D994" s="54"/>
      <c r="E994" s="54"/>
      <c r="F994" s="54"/>
      <c r="G994" s="54"/>
    </row>
    <row r="995" spans="2:7" ht="15.75" customHeight="1" x14ac:dyDescent="0.2">
      <c r="B995" s="54"/>
      <c r="C995" s="54"/>
      <c r="D995" s="54"/>
      <c r="E995" s="54"/>
      <c r="F995" s="54"/>
      <c r="G995" s="54"/>
    </row>
    <row r="996" spans="2:7" ht="15.75" customHeight="1" x14ac:dyDescent="0.2">
      <c r="B996" s="54"/>
      <c r="C996" s="54"/>
      <c r="D996" s="54"/>
      <c r="E996" s="54"/>
      <c r="F996" s="54"/>
      <c r="G996" s="54"/>
    </row>
    <row r="997" spans="2:7" ht="15.75" customHeight="1" x14ac:dyDescent="0.2">
      <c r="B997" s="54"/>
      <c r="C997" s="54"/>
      <c r="D997" s="54"/>
      <c r="E997" s="54"/>
      <c r="F997" s="54"/>
      <c r="G997" s="54"/>
    </row>
    <row r="998" spans="2:7" ht="15.75" customHeight="1" x14ac:dyDescent="0.2">
      <c r="B998" s="54"/>
      <c r="C998" s="54"/>
      <c r="D998" s="54"/>
      <c r="E998" s="54"/>
      <c r="F998" s="54"/>
      <c r="G998" s="54"/>
    </row>
    <row r="999" spans="2:7" ht="15.75" customHeight="1" x14ac:dyDescent="0.2">
      <c r="B999" s="54"/>
      <c r="C999" s="54"/>
      <c r="D999" s="54"/>
      <c r="E999" s="54"/>
      <c r="F999" s="54"/>
      <c r="G999" s="54"/>
    </row>
    <row r="1000" spans="2:7" ht="15.75" customHeight="1" x14ac:dyDescent="0.2">
      <c r="B1000" s="54"/>
      <c r="C1000" s="54"/>
      <c r="D1000" s="54"/>
      <c r="E1000" s="54"/>
      <c r="F1000" s="54"/>
      <c r="G1000" s="54"/>
    </row>
    <row r="1001" spans="2:7" ht="15.75" customHeight="1" x14ac:dyDescent="0.2">
      <c r="B1001" s="54"/>
      <c r="C1001" s="54"/>
      <c r="D1001" s="54"/>
      <c r="E1001" s="54"/>
      <c r="F1001" s="54"/>
      <c r="G1001" s="54"/>
    </row>
    <row r="1002" spans="2:7" ht="15.75" customHeight="1" x14ac:dyDescent="0.2">
      <c r="B1002" s="54"/>
      <c r="C1002" s="54"/>
      <c r="D1002" s="54"/>
      <c r="E1002" s="54"/>
      <c r="F1002" s="54"/>
      <c r="G1002" s="54"/>
    </row>
    <row r="1003" spans="2:7" ht="15.75" customHeight="1" x14ac:dyDescent="0.2">
      <c r="B1003" s="54"/>
      <c r="C1003" s="54"/>
      <c r="D1003" s="54"/>
      <c r="E1003" s="54"/>
      <c r="F1003" s="54"/>
      <c r="G1003" s="54"/>
    </row>
    <row r="1004" spans="2:7" ht="15.75" customHeight="1" x14ac:dyDescent="0.2">
      <c r="B1004" s="54"/>
      <c r="C1004" s="54"/>
      <c r="D1004" s="54"/>
      <c r="E1004" s="54"/>
      <c r="F1004" s="54"/>
      <c r="G1004" s="54"/>
    </row>
    <row r="1005" spans="2:7" ht="15.75" customHeight="1" x14ac:dyDescent="0.2">
      <c r="B1005" s="54"/>
      <c r="C1005" s="54"/>
      <c r="D1005" s="54"/>
      <c r="E1005" s="54"/>
      <c r="F1005" s="54"/>
      <c r="G1005" s="54"/>
    </row>
    <row r="1006" spans="2:7" ht="15.75" customHeight="1" x14ac:dyDescent="0.2">
      <c r="B1006" s="54"/>
      <c r="C1006" s="54"/>
      <c r="D1006" s="54"/>
      <c r="E1006" s="54"/>
      <c r="F1006" s="54"/>
      <c r="G1006" s="54"/>
    </row>
    <row r="1007" spans="2:7" ht="15.75" customHeight="1" x14ac:dyDescent="0.2">
      <c r="B1007" s="54"/>
      <c r="C1007" s="54"/>
      <c r="D1007" s="54"/>
      <c r="E1007" s="54"/>
      <c r="F1007" s="54"/>
      <c r="G1007" s="54"/>
    </row>
    <row r="1008" spans="2:7" ht="15.75" customHeight="1" x14ac:dyDescent="0.2">
      <c r="B1008" s="54"/>
      <c r="C1008" s="54"/>
      <c r="D1008" s="54"/>
      <c r="E1008" s="54"/>
      <c r="F1008" s="54"/>
      <c r="G1008" s="54"/>
    </row>
    <row r="1009" spans="2:7" ht="15.75" customHeight="1" x14ac:dyDescent="0.2">
      <c r="B1009" s="54"/>
      <c r="C1009" s="54"/>
      <c r="D1009" s="54"/>
      <c r="E1009" s="54"/>
      <c r="F1009" s="54"/>
      <c r="G1009" s="54"/>
    </row>
    <row r="1010" spans="2:7" ht="15.75" customHeight="1" x14ac:dyDescent="0.2">
      <c r="B1010" s="54"/>
      <c r="C1010" s="54"/>
      <c r="D1010" s="54"/>
      <c r="E1010" s="54"/>
      <c r="F1010" s="54"/>
      <c r="G1010" s="54"/>
    </row>
    <row r="1011" spans="2:7" ht="15.75" customHeight="1" x14ac:dyDescent="0.2">
      <c r="B1011" s="54"/>
      <c r="C1011" s="54"/>
      <c r="D1011" s="54"/>
      <c r="E1011" s="54"/>
      <c r="F1011" s="54"/>
      <c r="G1011" s="54"/>
    </row>
    <row r="1012" spans="2:7" ht="15.75" customHeight="1" x14ac:dyDescent="0.2">
      <c r="B1012" s="54"/>
      <c r="C1012" s="54"/>
      <c r="D1012" s="54"/>
      <c r="E1012" s="54"/>
      <c r="F1012" s="54"/>
      <c r="G1012" s="54"/>
    </row>
    <row r="1013" spans="2:7" ht="15.75" customHeight="1" x14ac:dyDescent="0.2">
      <c r="B1013" s="54"/>
      <c r="C1013" s="54"/>
      <c r="D1013" s="54"/>
      <c r="E1013" s="54"/>
      <c r="F1013" s="54"/>
      <c r="G1013" s="54"/>
    </row>
    <row r="1014" spans="2:7" ht="15.75" customHeight="1" x14ac:dyDescent="0.2">
      <c r="B1014" s="54"/>
      <c r="C1014" s="54"/>
      <c r="D1014" s="54"/>
      <c r="E1014" s="54"/>
      <c r="F1014" s="54"/>
      <c r="G1014" s="54"/>
    </row>
    <row r="1015" spans="2:7" ht="15.75" customHeight="1" x14ac:dyDescent="0.2">
      <c r="B1015" s="54"/>
      <c r="C1015" s="54"/>
      <c r="D1015" s="54"/>
      <c r="E1015" s="54"/>
      <c r="F1015" s="54"/>
      <c r="G1015" s="54"/>
    </row>
    <row r="1016" spans="2:7" ht="15.75" customHeight="1" x14ac:dyDescent="0.2">
      <c r="B1016" s="54"/>
      <c r="C1016" s="54"/>
      <c r="D1016" s="54"/>
      <c r="E1016" s="54"/>
      <c r="F1016" s="54"/>
      <c r="G1016" s="54"/>
    </row>
    <row r="1017" spans="2:7" ht="15.75" customHeight="1" x14ac:dyDescent="0.2">
      <c r="B1017" s="54"/>
      <c r="C1017" s="54"/>
      <c r="D1017" s="54"/>
      <c r="E1017" s="54"/>
      <c r="F1017" s="54"/>
      <c r="G1017" s="54"/>
    </row>
    <row r="1018" spans="2:7" ht="15.75" customHeight="1" x14ac:dyDescent="0.2">
      <c r="B1018" s="54"/>
      <c r="C1018" s="54"/>
      <c r="D1018" s="54"/>
      <c r="E1018" s="54"/>
      <c r="F1018" s="54"/>
      <c r="G1018" s="54"/>
    </row>
    <row r="1019" spans="2:7" ht="15.75" customHeight="1" x14ac:dyDescent="0.2">
      <c r="B1019" s="54"/>
      <c r="C1019" s="54"/>
      <c r="D1019" s="54"/>
      <c r="E1019" s="54"/>
      <c r="F1019" s="54"/>
      <c r="G1019" s="54"/>
    </row>
    <row r="1020" spans="2:7" ht="15.75" customHeight="1" x14ac:dyDescent="0.2">
      <c r="B1020" s="54"/>
      <c r="C1020" s="54"/>
      <c r="D1020" s="54"/>
      <c r="E1020" s="54"/>
      <c r="F1020" s="54"/>
      <c r="G1020" s="54"/>
    </row>
    <row r="1021" spans="2:7" ht="15.75" customHeight="1" x14ac:dyDescent="0.2">
      <c r="B1021" s="54"/>
      <c r="C1021" s="54"/>
      <c r="D1021" s="54"/>
      <c r="E1021" s="54"/>
      <c r="F1021" s="54"/>
      <c r="G1021" s="54"/>
    </row>
    <row r="1022" spans="2:7" ht="15.75" customHeight="1" x14ac:dyDescent="0.2">
      <c r="B1022" s="54"/>
      <c r="C1022" s="54"/>
      <c r="D1022" s="54"/>
      <c r="E1022" s="54"/>
      <c r="F1022" s="54"/>
      <c r="G1022" s="54"/>
    </row>
    <row r="1023" spans="2:7" ht="15.75" customHeight="1" x14ac:dyDescent="0.2">
      <c r="B1023" s="54"/>
      <c r="C1023" s="54"/>
      <c r="D1023" s="54"/>
      <c r="E1023" s="54"/>
      <c r="F1023" s="54"/>
      <c r="G1023" s="54"/>
    </row>
    <row r="1024" spans="2:7" ht="15.75" customHeight="1" x14ac:dyDescent="0.2">
      <c r="B1024" s="54"/>
      <c r="C1024" s="54"/>
      <c r="D1024" s="54"/>
      <c r="E1024" s="54"/>
      <c r="F1024" s="54"/>
      <c r="G1024" s="54"/>
    </row>
    <row r="1025" spans="2:7" ht="15.75" customHeight="1" x14ac:dyDescent="0.2">
      <c r="B1025" s="54"/>
      <c r="C1025" s="54"/>
      <c r="D1025" s="54"/>
      <c r="E1025" s="54"/>
      <c r="F1025" s="54"/>
      <c r="G1025" s="54"/>
    </row>
    <row r="1026" spans="2:7" ht="15.75" customHeight="1" x14ac:dyDescent="0.2">
      <c r="B1026" s="54"/>
      <c r="C1026" s="54"/>
      <c r="D1026" s="54"/>
      <c r="E1026" s="54"/>
      <c r="F1026" s="54"/>
      <c r="G1026" s="54"/>
    </row>
    <row r="1027" spans="2:7" ht="15.75" customHeight="1" x14ac:dyDescent="0.2">
      <c r="B1027" s="54"/>
      <c r="C1027" s="54"/>
      <c r="D1027" s="54"/>
      <c r="E1027" s="54"/>
      <c r="F1027" s="54"/>
      <c r="G1027" s="54"/>
    </row>
    <row r="1028" spans="2:7" ht="15.75" customHeight="1" x14ac:dyDescent="0.2">
      <c r="B1028" s="54"/>
      <c r="C1028" s="54"/>
      <c r="D1028" s="54"/>
      <c r="E1028" s="54"/>
      <c r="F1028" s="54"/>
      <c r="G1028" s="54"/>
    </row>
    <row r="1029" spans="2:7" ht="15.75" customHeight="1" x14ac:dyDescent="0.2">
      <c r="B1029" s="54"/>
      <c r="C1029" s="54"/>
      <c r="D1029" s="54"/>
      <c r="E1029" s="54"/>
      <c r="F1029" s="54"/>
      <c r="G1029" s="54"/>
    </row>
    <row r="1030" spans="2:7" ht="15.75" customHeight="1" x14ac:dyDescent="0.2">
      <c r="B1030" s="54"/>
      <c r="C1030" s="54"/>
      <c r="D1030" s="54"/>
      <c r="E1030" s="54"/>
      <c r="F1030" s="54"/>
      <c r="G1030" s="54"/>
    </row>
    <row r="1031" spans="2:7" ht="15.75" customHeight="1" x14ac:dyDescent="0.2">
      <c r="B1031" s="54"/>
      <c r="C1031" s="54"/>
      <c r="D1031" s="54"/>
      <c r="E1031" s="54"/>
      <c r="F1031" s="54"/>
      <c r="G1031" s="54"/>
    </row>
    <row r="1032" spans="2:7" ht="15.75" customHeight="1" x14ac:dyDescent="0.2">
      <c r="B1032" s="54"/>
      <c r="C1032" s="54"/>
      <c r="D1032" s="54"/>
      <c r="E1032" s="54"/>
      <c r="F1032" s="54"/>
      <c r="G1032" s="54"/>
    </row>
    <row r="1033" spans="2:7" ht="15.75" customHeight="1" x14ac:dyDescent="0.2">
      <c r="B1033" s="54"/>
      <c r="C1033" s="54"/>
      <c r="D1033" s="54"/>
      <c r="E1033" s="54"/>
      <c r="F1033" s="54"/>
      <c r="G1033" s="54"/>
    </row>
    <row r="1034" spans="2:7" ht="15.75" customHeight="1" x14ac:dyDescent="0.2">
      <c r="B1034" s="54"/>
      <c r="C1034" s="54"/>
      <c r="D1034" s="54"/>
      <c r="E1034" s="54"/>
      <c r="F1034" s="54"/>
      <c r="G1034" s="54"/>
    </row>
    <row r="1035" spans="2:7" ht="15.75" customHeight="1" x14ac:dyDescent="0.2">
      <c r="B1035" s="54"/>
      <c r="C1035" s="54"/>
      <c r="D1035" s="54"/>
      <c r="E1035" s="54"/>
      <c r="F1035" s="54"/>
      <c r="G1035" s="54"/>
    </row>
    <row r="1036" spans="2:7" ht="15.75" customHeight="1" x14ac:dyDescent="0.2">
      <c r="B1036" s="54"/>
      <c r="C1036" s="54"/>
      <c r="D1036" s="54"/>
      <c r="E1036" s="54"/>
      <c r="F1036" s="54"/>
      <c r="G1036" s="54"/>
    </row>
    <row r="1037" spans="2:7" ht="15.75" customHeight="1" x14ac:dyDescent="0.2">
      <c r="B1037" s="54"/>
      <c r="C1037" s="54"/>
      <c r="D1037" s="54"/>
      <c r="E1037" s="54"/>
      <c r="F1037" s="54"/>
      <c r="G1037" s="54"/>
    </row>
    <row r="1038" spans="2:7" ht="15.75" customHeight="1" x14ac:dyDescent="0.2">
      <c r="B1038" s="54"/>
      <c r="C1038" s="54"/>
      <c r="D1038" s="54"/>
      <c r="E1038" s="54"/>
      <c r="F1038" s="54"/>
      <c r="G1038" s="54"/>
    </row>
    <row r="1039" spans="2:7" ht="15.75" customHeight="1" x14ac:dyDescent="0.2">
      <c r="B1039" s="54"/>
      <c r="C1039" s="54"/>
      <c r="D1039" s="54"/>
      <c r="E1039" s="54"/>
      <c r="F1039" s="54"/>
      <c r="G1039" s="54"/>
    </row>
    <row r="1040" spans="2:7" ht="15.75" customHeight="1" x14ac:dyDescent="0.2">
      <c r="B1040" s="54"/>
      <c r="C1040" s="54"/>
      <c r="D1040" s="54"/>
      <c r="E1040" s="54"/>
      <c r="F1040" s="54"/>
      <c r="G1040" s="54"/>
    </row>
    <row r="1041" spans="2:7" ht="15.75" customHeight="1" x14ac:dyDescent="0.2">
      <c r="B1041" s="54"/>
      <c r="C1041" s="54"/>
      <c r="D1041" s="54"/>
      <c r="E1041" s="54"/>
      <c r="F1041" s="54"/>
      <c r="G1041" s="54"/>
    </row>
    <row r="1042" spans="2:7" ht="15.75" customHeight="1" x14ac:dyDescent="0.2">
      <c r="B1042" s="54"/>
      <c r="C1042" s="54"/>
      <c r="D1042" s="54"/>
      <c r="E1042" s="54"/>
      <c r="F1042" s="54"/>
      <c r="G1042" s="54"/>
    </row>
    <row r="1043" spans="2:7" ht="15.75" customHeight="1" x14ac:dyDescent="0.2">
      <c r="B1043" s="54"/>
      <c r="C1043" s="54"/>
      <c r="D1043" s="54"/>
      <c r="E1043" s="54"/>
      <c r="F1043" s="54"/>
      <c r="G1043" s="54"/>
    </row>
    <row r="1044" spans="2:7" ht="15.75" customHeight="1" x14ac:dyDescent="0.2">
      <c r="B1044" s="54"/>
      <c r="C1044" s="54"/>
      <c r="D1044" s="54"/>
      <c r="E1044" s="54"/>
      <c r="F1044" s="54"/>
      <c r="G1044" s="54"/>
    </row>
    <row r="1045" spans="2:7" ht="15.75" customHeight="1" x14ac:dyDescent="0.2">
      <c r="B1045" s="54"/>
      <c r="C1045" s="54"/>
      <c r="D1045" s="54"/>
      <c r="E1045" s="54"/>
      <c r="F1045" s="54"/>
      <c r="G1045" s="54"/>
    </row>
    <row r="1046" spans="2:7" ht="15.75" customHeight="1" x14ac:dyDescent="0.2">
      <c r="B1046" s="54"/>
      <c r="C1046" s="54"/>
      <c r="D1046" s="54"/>
      <c r="E1046" s="54"/>
      <c r="F1046" s="54"/>
      <c r="G1046" s="54"/>
    </row>
    <row r="1047" spans="2:7" ht="15.75" customHeight="1" x14ac:dyDescent="0.2">
      <c r="B1047" s="54"/>
      <c r="C1047" s="54"/>
      <c r="D1047" s="54"/>
      <c r="E1047" s="54"/>
      <c r="F1047" s="54"/>
      <c r="G1047" s="54"/>
    </row>
    <row r="1048" spans="2:7" ht="15.75" customHeight="1" x14ac:dyDescent="0.2">
      <c r="B1048" s="54"/>
      <c r="C1048" s="54"/>
      <c r="D1048" s="54"/>
      <c r="E1048" s="54"/>
      <c r="F1048" s="54"/>
      <c r="G1048" s="54"/>
    </row>
    <row r="1049" spans="2:7" ht="15.75" customHeight="1" x14ac:dyDescent="0.2">
      <c r="B1049" s="54"/>
      <c r="C1049" s="54"/>
      <c r="D1049" s="54"/>
      <c r="E1049" s="54"/>
      <c r="F1049" s="54"/>
      <c r="G1049" s="54"/>
    </row>
    <row r="1050" spans="2:7" ht="15.75" customHeight="1" x14ac:dyDescent="0.2">
      <c r="B1050" s="54"/>
      <c r="C1050" s="54"/>
      <c r="D1050" s="54"/>
      <c r="E1050" s="54"/>
      <c r="F1050" s="54"/>
      <c r="G1050" s="54"/>
    </row>
    <row r="1051" spans="2:7" ht="15.75" customHeight="1" x14ac:dyDescent="0.2">
      <c r="B1051" s="54"/>
      <c r="C1051" s="54"/>
      <c r="D1051" s="54"/>
      <c r="E1051" s="54"/>
      <c r="F1051" s="54"/>
      <c r="G1051" s="54"/>
    </row>
    <row r="1052" spans="2:7" ht="15.75" customHeight="1" x14ac:dyDescent="0.2">
      <c r="B1052" s="54"/>
      <c r="C1052" s="54"/>
      <c r="D1052" s="54"/>
      <c r="E1052" s="54"/>
      <c r="F1052" s="54"/>
      <c r="G1052" s="54"/>
    </row>
    <row r="1053" spans="2:7" ht="15.75" customHeight="1" x14ac:dyDescent="0.2">
      <c r="B1053" s="54"/>
      <c r="C1053" s="54"/>
      <c r="D1053" s="54"/>
      <c r="E1053" s="54"/>
      <c r="F1053" s="54"/>
      <c r="G1053" s="54"/>
    </row>
    <row r="1054" spans="2:7" ht="15.75" customHeight="1" x14ac:dyDescent="0.2">
      <c r="B1054" s="54"/>
      <c r="C1054" s="54"/>
      <c r="D1054" s="54"/>
      <c r="E1054" s="54"/>
      <c r="F1054" s="54"/>
      <c r="G1054" s="54"/>
    </row>
    <row r="1055" spans="2:7" ht="15.75" customHeight="1" x14ac:dyDescent="0.2">
      <c r="B1055" s="54"/>
      <c r="C1055" s="54"/>
      <c r="D1055" s="54"/>
      <c r="E1055" s="54"/>
      <c r="F1055" s="54"/>
      <c r="G1055" s="54"/>
    </row>
    <row r="1056" spans="2:7" ht="15.75" customHeight="1" x14ac:dyDescent="0.2">
      <c r="B1056" s="54"/>
      <c r="C1056" s="54"/>
      <c r="D1056" s="54"/>
      <c r="E1056" s="54"/>
      <c r="F1056" s="54"/>
      <c r="G1056" s="54"/>
    </row>
    <row r="1057" spans="2:7" ht="15.75" customHeight="1" x14ac:dyDescent="0.2">
      <c r="B1057" s="54"/>
      <c r="C1057" s="54"/>
      <c r="D1057" s="54"/>
      <c r="E1057" s="54"/>
      <c r="F1057" s="54"/>
      <c r="G1057" s="54"/>
    </row>
  </sheetData>
  <mergeCells count="98">
    <mergeCell ref="A97:Y97"/>
    <mergeCell ref="A94:F94"/>
    <mergeCell ref="A92:F93"/>
    <mergeCell ref="A91:F91"/>
    <mergeCell ref="A31:A33"/>
    <mergeCell ref="B64:B67"/>
    <mergeCell ref="A76:A81"/>
    <mergeCell ref="A82:A84"/>
    <mergeCell ref="A85:A86"/>
    <mergeCell ref="E45:E46"/>
    <mergeCell ref="G45:G46"/>
    <mergeCell ref="H45:H46"/>
    <mergeCell ref="B58:B59"/>
    <mergeCell ref="A42:A43"/>
    <mergeCell ref="A34:A41"/>
    <mergeCell ref="B60:B62"/>
    <mergeCell ref="C45:C46"/>
    <mergeCell ref="D45:D46"/>
    <mergeCell ref="F45:F46"/>
    <mergeCell ref="A19:A30"/>
    <mergeCell ref="K16:K18"/>
    <mergeCell ref="I15:I18"/>
    <mergeCell ref="J15:J18"/>
    <mergeCell ref="F19:F20"/>
    <mergeCell ref="Z14:Z18"/>
    <mergeCell ref="AA14:AA18"/>
    <mergeCell ref="U16:V16"/>
    <mergeCell ref="W16:W17"/>
    <mergeCell ref="X16:X17"/>
    <mergeCell ref="Y16:Y17"/>
    <mergeCell ref="V17:V18"/>
    <mergeCell ref="U17:U18"/>
    <mergeCell ref="E19:E20"/>
    <mergeCell ref="N14:P14"/>
    <mergeCell ref="R14:V15"/>
    <mergeCell ref="W14:Y14"/>
    <mergeCell ref="K15:L15"/>
    <mergeCell ref="N15:P15"/>
    <mergeCell ref="W15:Y15"/>
    <mergeCell ref="M14:M18"/>
    <mergeCell ref="T17:T18"/>
    <mergeCell ref="P16:P17"/>
    <mergeCell ref="Q14:Q18"/>
    <mergeCell ref="R16:S16"/>
    <mergeCell ref="R17:R18"/>
    <mergeCell ref="S17:S18"/>
    <mergeCell ref="L16:L18"/>
    <mergeCell ref="I14:L14"/>
    <mergeCell ref="A58:A71"/>
    <mergeCell ref="A73:A75"/>
    <mergeCell ref="B74:B75"/>
    <mergeCell ref="A14:A18"/>
    <mergeCell ref="B14:B18"/>
    <mergeCell ref="B19:B20"/>
    <mergeCell ref="A45:A57"/>
    <mergeCell ref="B45:B46"/>
    <mergeCell ref="C14:E15"/>
    <mergeCell ref="F14:F18"/>
    <mergeCell ref="G14:G18"/>
    <mergeCell ref="N16:N18"/>
    <mergeCell ref="O16:O18"/>
    <mergeCell ref="E16:E18"/>
    <mergeCell ref="C16:C18"/>
    <mergeCell ref="D16:D18"/>
    <mergeCell ref="G19:G20"/>
    <mergeCell ref="H19:H20"/>
    <mergeCell ref="H14:H18"/>
    <mergeCell ref="Q5:R5"/>
    <mergeCell ref="S5:AA5"/>
    <mergeCell ref="W12:Y12"/>
    <mergeCell ref="Z12:AA12"/>
    <mergeCell ref="A11:AA11"/>
    <mergeCell ref="B12:F12"/>
    <mergeCell ref="H12:I12"/>
    <mergeCell ref="J12:K12"/>
    <mergeCell ref="M12:P12"/>
    <mergeCell ref="Q12:R12"/>
    <mergeCell ref="S12:U12"/>
    <mergeCell ref="C19:C20"/>
    <mergeCell ref="D19:D20"/>
    <mergeCell ref="B1:C1"/>
    <mergeCell ref="D1:X3"/>
    <mergeCell ref="Y1:AA3"/>
    <mergeCell ref="B2:C2"/>
    <mergeCell ref="B3:C3"/>
    <mergeCell ref="A4:AA4"/>
    <mergeCell ref="B5:P5"/>
    <mergeCell ref="S8:AA8"/>
    <mergeCell ref="S9:AA9"/>
    <mergeCell ref="B10:P10"/>
    <mergeCell ref="S10:AA10"/>
    <mergeCell ref="B6:P6"/>
    <mergeCell ref="Q6:R6"/>
    <mergeCell ref="S6:AA6"/>
    <mergeCell ref="A7:AA7"/>
    <mergeCell ref="B8:P8"/>
    <mergeCell ref="Q8:R10"/>
    <mergeCell ref="B9:P9"/>
  </mergeCells>
  <conditionalFormatting sqref="P19:P87 Y19:Y87">
    <cfRule type="cellIs" dxfId="23" priority="1" stopIfTrue="1" operator="equal">
      <formula>"BAJO"</formula>
    </cfRule>
    <cfRule type="cellIs" dxfId="12" priority="2" stopIfTrue="1" operator="equal">
      <formula>"ALTO"</formula>
    </cfRule>
    <cfRule type="cellIs" dxfId="13" priority="3" stopIfTrue="1" operator="equal">
      <formula>"MEDIO"</formula>
    </cfRule>
    <cfRule type="cellIs" dxfId="22" priority="4" stopIfTrue="1" operator="equal">
      <formula>"CRITICO"</formula>
    </cfRule>
  </conditionalFormatting>
  <conditionalFormatting sqref="Q19:Q87 Z19:Z87">
    <cfRule type="cellIs" dxfId="21" priority="5" operator="equal">
      <formula>"NO ACEPTABLE"</formula>
    </cfRule>
    <cfRule type="cellIs" dxfId="20" priority="6" operator="equal">
      <formula>"ACEPTABLE"</formula>
    </cfRule>
    <cfRule type="cellIs" dxfId="19" priority="7" stopIfTrue="1" operator="equal">
      <formula>"SI"</formula>
    </cfRule>
    <cfRule type="cellIs" dxfId="18" priority="8" stopIfTrue="1" operator="equal">
      <formula>"NO"</formula>
    </cfRule>
  </conditionalFormatting>
  <conditionalFormatting sqref="Y19:Y87 P89">
    <cfRule type="cellIs" dxfId="17" priority="9" stopIfTrue="1" operator="equal">
      <formula>"Intolerable"</formula>
    </cfRule>
    <cfRule type="cellIs" dxfId="16" priority="10" stopIfTrue="1" operator="equal">
      <formula>"Importante"</formula>
    </cfRule>
    <cfRule type="cellIs" dxfId="15" priority="11" stopIfTrue="1" operator="equal">
      <formula>"Moderado"</formula>
    </cfRule>
    <cfRule type="cellIs" dxfId="14" priority="12" stopIfTrue="1" operator="equal">
      <formula>"Tolerable"</formula>
    </cfRule>
  </conditionalFormatting>
  <dataValidations disablePrompts="1" count="4">
    <dataValidation type="decimal" operator="lessThanOrEqual" allowBlank="1" showErrorMessage="1" sqref="W21:X50 W52:X87" xr:uid="{00000000-0002-0000-0000-000001000000}">
      <formula1>200</formula1>
    </dataValidation>
    <dataValidation type="decimal" operator="lessThanOrEqual" allowBlank="1" showErrorMessage="1" sqref="N21:O50 N52:O87" xr:uid="{00000000-0002-0000-0000-000002000000}">
      <formula1>100</formula1>
    </dataValidation>
    <dataValidation type="list" allowBlank="1" showErrorMessage="1" sqref="M87 G87 G19 G21:G45 G47:G84 M19:M84" xr:uid="{00000000-0002-0000-0000-000000000000}">
      <formula1>"M,F,NA"</formula1>
    </dataValidation>
    <dataValidation allowBlank="1" showErrorMessage="1" sqref="C85:C86" xr:uid="{F7E03B3B-EDE4-48DA-9F35-32C76FF9666B}"/>
  </dataValidations>
  <pageMargins left="0.25" right="0" top="0.6" bottom="0.49" header="0" footer="0"/>
  <pageSetup paperSize="8" scale="1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AG1000"/>
  <sheetViews>
    <sheetView tabSelected="1" topLeftCell="J19" zoomScale="70" zoomScaleNormal="70" workbookViewId="0">
      <selection activeCell="T49" sqref="T49"/>
    </sheetView>
  </sheetViews>
  <sheetFormatPr baseColWidth="10" defaultColWidth="12.7109375" defaultRowHeight="15" customHeight="1" x14ac:dyDescent="0.2"/>
  <cols>
    <col min="1" max="1" width="5.42578125" customWidth="1"/>
    <col min="2" max="2" width="7.42578125" customWidth="1"/>
    <col min="3" max="3" width="16.140625" customWidth="1"/>
    <col min="4" max="4" width="16.42578125" customWidth="1"/>
    <col min="5" max="8" width="15.42578125" customWidth="1"/>
    <col min="9" max="9" width="24.85546875" customWidth="1"/>
    <col min="10" max="14" width="10.42578125" customWidth="1"/>
    <col min="15" max="15" width="16.7109375" customWidth="1"/>
    <col min="16" max="16" width="33.28515625" customWidth="1"/>
    <col min="17" max="18" width="10.42578125" customWidth="1"/>
    <col min="19" max="19" width="29.5703125" customWidth="1"/>
    <col min="20" max="21" width="10.42578125" customWidth="1"/>
    <col min="22" max="22" width="27.140625" customWidth="1"/>
    <col min="23" max="25" width="10.42578125" customWidth="1"/>
    <col min="26" max="26" width="23.7109375" customWidth="1"/>
    <col min="29" max="29" width="30" customWidth="1"/>
    <col min="32" max="32" width="16.140625" customWidth="1"/>
  </cols>
  <sheetData>
    <row r="1" spans="1:9" ht="12.75" customHeight="1" x14ac:dyDescent="0.2">
      <c r="A1" s="20"/>
      <c r="B1" s="20"/>
      <c r="C1" s="20"/>
      <c r="D1" s="20"/>
      <c r="E1" s="20"/>
      <c r="F1" s="20"/>
      <c r="G1" s="20"/>
      <c r="H1" s="20"/>
      <c r="I1" s="20"/>
    </row>
    <row r="2" spans="1:9" ht="16.5" customHeight="1" x14ac:dyDescent="0.2">
      <c r="A2" s="20"/>
      <c r="B2" s="273" t="s">
        <v>257</v>
      </c>
      <c r="C2" s="274"/>
      <c r="D2" s="274"/>
      <c r="E2" s="274"/>
      <c r="F2" s="274"/>
      <c r="G2" s="274"/>
      <c r="H2" s="274"/>
      <c r="I2" s="275"/>
    </row>
    <row r="3" spans="1:9" ht="14.25" customHeight="1" x14ac:dyDescent="0.2">
      <c r="A3" s="20"/>
      <c r="B3" s="20"/>
      <c r="C3" s="20"/>
      <c r="D3" s="20"/>
      <c r="E3" s="20"/>
      <c r="F3" s="20"/>
      <c r="G3" s="20"/>
      <c r="H3" s="20"/>
      <c r="I3" s="20"/>
    </row>
    <row r="4" spans="1:9" ht="28.5" customHeight="1" x14ac:dyDescent="0.2">
      <c r="A4" s="20"/>
      <c r="B4" s="276" t="s">
        <v>258</v>
      </c>
      <c r="C4" s="55" t="s">
        <v>259</v>
      </c>
      <c r="D4" s="56">
        <v>50</v>
      </c>
      <c r="E4" s="57">
        <v>100</v>
      </c>
      <c r="F4" s="57">
        <v>150</v>
      </c>
      <c r="G4" s="57">
        <v>200</v>
      </c>
      <c r="H4" s="57">
        <v>250</v>
      </c>
      <c r="I4" s="20"/>
    </row>
    <row r="5" spans="1:9" ht="28.5" customHeight="1" x14ac:dyDescent="0.2">
      <c r="A5" s="20"/>
      <c r="B5" s="277"/>
      <c r="C5" s="55" t="s">
        <v>260</v>
      </c>
      <c r="D5" s="182">
        <v>20</v>
      </c>
      <c r="E5" s="58">
        <v>40</v>
      </c>
      <c r="F5" s="59">
        <v>60</v>
      </c>
      <c r="G5" s="59">
        <v>80</v>
      </c>
      <c r="H5" s="59">
        <v>100</v>
      </c>
      <c r="I5" s="20"/>
    </row>
    <row r="6" spans="1:9" ht="28.5" customHeight="1" x14ac:dyDescent="0.2">
      <c r="A6" s="20"/>
      <c r="B6" s="277"/>
      <c r="C6" s="55" t="s">
        <v>261</v>
      </c>
      <c r="D6" s="60">
        <v>10</v>
      </c>
      <c r="E6" s="182">
        <v>20</v>
      </c>
      <c r="F6" s="58">
        <v>30</v>
      </c>
      <c r="G6" s="58">
        <v>40</v>
      </c>
      <c r="H6" s="58">
        <v>50</v>
      </c>
      <c r="I6" s="20"/>
    </row>
    <row r="7" spans="1:9" ht="28.5" customHeight="1" x14ac:dyDescent="0.2">
      <c r="A7" s="20"/>
      <c r="B7" s="277"/>
      <c r="C7" s="55" t="s">
        <v>262</v>
      </c>
      <c r="D7" s="60">
        <v>5</v>
      </c>
      <c r="E7" s="60">
        <v>10</v>
      </c>
      <c r="F7" s="60">
        <v>15</v>
      </c>
      <c r="G7" s="182">
        <v>20</v>
      </c>
      <c r="H7" s="58">
        <v>25</v>
      </c>
      <c r="I7" s="20"/>
    </row>
    <row r="8" spans="1:9" ht="28.5" customHeight="1" x14ac:dyDescent="0.2">
      <c r="A8" s="20"/>
      <c r="B8" s="277"/>
      <c r="C8" s="55" t="s">
        <v>263</v>
      </c>
      <c r="D8" s="61">
        <v>2</v>
      </c>
      <c r="E8" s="60">
        <v>4</v>
      </c>
      <c r="F8" s="60">
        <v>6</v>
      </c>
      <c r="G8" s="60">
        <v>8</v>
      </c>
      <c r="H8" s="60">
        <v>10</v>
      </c>
      <c r="I8" s="20"/>
    </row>
    <row r="9" spans="1:9" ht="28.5" customHeight="1" x14ac:dyDescent="0.2">
      <c r="A9" s="20"/>
      <c r="B9" s="278"/>
      <c r="C9" s="55" t="s">
        <v>264</v>
      </c>
      <c r="D9" s="61">
        <v>1</v>
      </c>
      <c r="E9" s="61">
        <v>2</v>
      </c>
      <c r="F9" s="61">
        <v>3</v>
      </c>
      <c r="G9" s="60">
        <v>4</v>
      </c>
      <c r="H9" s="60">
        <v>5</v>
      </c>
      <c r="I9" s="20"/>
    </row>
    <row r="10" spans="1:9" ht="42" customHeight="1" x14ac:dyDescent="0.2">
      <c r="A10" s="20"/>
      <c r="B10" s="20"/>
      <c r="C10" s="13"/>
      <c r="D10" s="62" t="s">
        <v>265</v>
      </c>
      <c r="E10" s="62" t="s">
        <v>266</v>
      </c>
      <c r="F10" s="62" t="s">
        <v>267</v>
      </c>
      <c r="G10" s="62" t="s">
        <v>268</v>
      </c>
      <c r="H10" s="62" t="s">
        <v>269</v>
      </c>
      <c r="I10" s="20"/>
    </row>
    <row r="11" spans="1:9" ht="12.75" customHeight="1" x14ac:dyDescent="0.2">
      <c r="A11" s="20"/>
      <c r="B11" s="20"/>
      <c r="C11" s="13"/>
      <c r="D11" s="279" t="s">
        <v>270</v>
      </c>
      <c r="E11" s="280"/>
      <c r="F11" s="280"/>
      <c r="G11" s="280"/>
      <c r="H11" s="281"/>
      <c r="I11" s="20"/>
    </row>
    <row r="12" spans="1:9" ht="12.75" customHeight="1" x14ac:dyDescent="0.2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2.75" customHeight="1" x14ac:dyDescent="0.2">
      <c r="A13" s="20"/>
      <c r="B13" s="273" t="s">
        <v>271</v>
      </c>
      <c r="C13" s="274"/>
      <c r="D13" s="275"/>
      <c r="E13" s="63"/>
      <c r="F13" s="273" t="s">
        <v>272</v>
      </c>
      <c r="G13" s="274"/>
      <c r="H13" s="274"/>
      <c r="I13" s="275"/>
    </row>
    <row r="14" spans="1:9" ht="7.5" customHeight="1" x14ac:dyDescent="0.2">
      <c r="A14" s="20"/>
      <c r="B14" s="20"/>
      <c r="C14" s="20"/>
      <c r="D14" s="20"/>
      <c r="E14" s="20"/>
      <c r="F14" s="20"/>
      <c r="G14" s="20"/>
      <c r="H14" s="20"/>
    </row>
    <row r="15" spans="1:9" ht="36" customHeight="1" x14ac:dyDescent="0.2">
      <c r="A15" s="20"/>
      <c r="B15" s="64" t="s">
        <v>273</v>
      </c>
      <c r="C15" s="65" t="s">
        <v>274</v>
      </c>
      <c r="D15" s="66" t="s">
        <v>275</v>
      </c>
      <c r="E15" s="15"/>
      <c r="F15" s="65" t="s">
        <v>273</v>
      </c>
      <c r="G15" s="65" t="s">
        <v>274</v>
      </c>
      <c r="H15" s="282" t="s">
        <v>276</v>
      </c>
      <c r="I15" s="283"/>
    </row>
    <row r="16" spans="1:9" ht="49.5" customHeight="1" x14ac:dyDescent="0.2">
      <c r="A16" s="20"/>
      <c r="B16" s="67">
        <v>5</v>
      </c>
      <c r="C16" s="68" t="s">
        <v>277</v>
      </c>
      <c r="D16" s="69" t="s">
        <v>278</v>
      </c>
      <c r="E16" s="20"/>
      <c r="F16" s="70">
        <v>50</v>
      </c>
      <c r="G16" s="71" t="s">
        <v>279</v>
      </c>
      <c r="H16" s="284" t="s">
        <v>280</v>
      </c>
      <c r="I16" s="285"/>
    </row>
    <row r="17" spans="1:33" ht="91.5" customHeight="1" x14ac:dyDescent="0.2">
      <c r="A17" s="20"/>
      <c r="B17" s="72">
        <v>4</v>
      </c>
      <c r="C17" s="73" t="s">
        <v>281</v>
      </c>
      <c r="D17" s="74" t="s">
        <v>282</v>
      </c>
      <c r="E17" s="20"/>
      <c r="F17" s="75">
        <v>20</v>
      </c>
      <c r="G17" s="73" t="s">
        <v>283</v>
      </c>
      <c r="H17" s="286" t="s">
        <v>284</v>
      </c>
      <c r="I17" s="287"/>
    </row>
    <row r="18" spans="1:33" ht="102" customHeight="1" x14ac:dyDescent="0.2">
      <c r="A18" s="20"/>
      <c r="B18" s="72">
        <v>3</v>
      </c>
      <c r="C18" s="73" t="s">
        <v>285</v>
      </c>
      <c r="D18" s="74" t="s">
        <v>286</v>
      </c>
      <c r="E18" s="20"/>
      <c r="F18" s="75">
        <v>10</v>
      </c>
      <c r="G18" s="73" t="s">
        <v>287</v>
      </c>
      <c r="H18" s="286" t="s">
        <v>288</v>
      </c>
      <c r="I18" s="287"/>
    </row>
    <row r="19" spans="1:33" ht="67.5" customHeight="1" x14ac:dyDescent="0.2">
      <c r="A19" s="20"/>
      <c r="B19" s="72">
        <v>2</v>
      </c>
      <c r="C19" s="73" t="s">
        <v>289</v>
      </c>
      <c r="D19" s="74" t="s">
        <v>290</v>
      </c>
      <c r="E19" s="20"/>
      <c r="F19" s="75">
        <v>5</v>
      </c>
      <c r="G19" s="73" t="s">
        <v>291</v>
      </c>
      <c r="H19" s="288" t="s">
        <v>292</v>
      </c>
      <c r="I19" s="287"/>
    </row>
    <row r="20" spans="1:33" ht="66.75" customHeight="1" x14ac:dyDescent="0.2">
      <c r="A20" s="20"/>
      <c r="B20" s="76">
        <v>1</v>
      </c>
      <c r="C20" s="77" t="s">
        <v>293</v>
      </c>
      <c r="D20" s="78" t="s">
        <v>294</v>
      </c>
      <c r="E20" s="20"/>
      <c r="F20" s="75">
        <v>2</v>
      </c>
      <c r="G20" s="73" t="s">
        <v>295</v>
      </c>
      <c r="H20" s="288" t="s">
        <v>296</v>
      </c>
      <c r="I20" s="287"/>
    </row>
    <row r="21" spans="1:33" ht="57.75" customHeight="1" x14ac:dyDescent="0.2">
      <c r="A21" s="20"/>
      <c r="B21" s="20"/>
      <c r="C21" s="20"/>
      <c r="D21" s="20"/>
      <c r="E21" s="20"/>
      <c r="F21" s="79">
        <v>1</v>
      </c>
      <c r="G21" s="77" t="s">
        <v>297</v>
      </c>
      <c r="H21" s="289" t="s">
        <v>298</v>
      </c>
      <c r="I21" s="290"/>
    </row>
    <row r="22" spans="1:33" ht="12.75" customHeight="1" x14ac:dyDescent="0.2">
      <c r="A22" s="20"/>
      <c r="B22" s="20"/>
      <c r="C22" s="20"/>
      <c r="D22" s="20"/>
      <c r="E22" s="20"/>
      <c r="F22" s="20"/>
      <c r="G22" s="20"/>
      <c r="H22" s="20"/>
      <c r="W22" s="300"/>
      <c r="X22" s="300"/>
      <c r="Y22" s="300"/>
      <c r="Z22" s="300"/>
      <c r="AA22" s="300"/>
      <c r="AB22" s="300"/>
      <c r="AC22" s="300"/>
      <c r="AD22" s="300"/>
      <c r="AE22" s="300"/>
      <c r="AF22" s="300"/>
      <c r="AG22" s="300"/>
    </row>
    <row r="23" spans="1:33" ht="14.25" customHeight="1" x14ac:dyDescent="0.2">
      <c r="A23" s="20"/>
      <c r="B23" s="291"/>
      <c r="C23" s="274"/>
      <c r="D23" s="274"/>
      <c r="E23" s="274"/>
      <c r="F23" s="274"/>
      <c r="G23" s="274"/>
      <c r="H23" s="274"/>
      <c r="I23" s="275"/>
      <c r="N23" s="300"/>
      <c r="O23" s="300"/>
      <c r="P23" s="300"/>
      <c r="Q23" s="300"/>
      <c r="R23" s="300"/>
      <c r="S23" s="300"/>
      <c r="T23" s="300"/>
      <c r="U23" s="300"/>
      <c r="V23" s="300"/>
      <c r="W23" s="300"/>
      <c r="X23" s="300"/>
      <c r="Y23" s="300"/>
      <c r="Z23" s="300"/>
      <c r="AA23" s="300"/>
      <c r="AB23" s="300"/>
      <c r="AC23" s="300"/>
      <c r="AD23" s="300"/>
      <c r="AE23" s="300"/>
      <c r="AF23" s="300"/>
      <c r="AG23" s="300"/>
    </row>
    <row r="24" spans="1:33" ht="12.75" customHeight="1" x14ac:dyDescent="0.2">
      <c r="A24" s="20"/>
      <c r="B24" s="20"/>
      <c r="C24" s="20"/>
      <c r="D24" s="20"/>
      <c r="E24" s="20"/>
      <c r="F24" s="20"/>
      <c r="G24" s="20"/>
      <c r="H24" s="20"/>
      <c r="I24" s="20"/>
      <c r="N24" s="300"/>
      <c r="O24" s="300"/>
      <c r="P24" s="300"/>
      <c r="Q24" s="300"/>
      <c r="R24" s="300"/>
      <c r="S24" s="300"/>
      <c r="T24" s="300"/>
      <c r="U24" s="300"/>
      <c r="V24" s="300"/>
      <c r="W24" s="300"/>
      <c r="X24" s="300"/>
      <c r="Y24" s="300"/>
      <c r="Z24" s="300"/>
      <c r="AA24" s="300"/>
      <c r="AB24" s="300"/>
      <c r="AC24" s="300"/>
      <c r="AD24" s="300"/>
      <c r="AE24" s="300"/>
      <c r="AF24" s="300"/>
      <c r="AG24" s="300"/>
    </row>
    <row r="25" spans="1:33" ht="24.75" customHeight="1" x14ac:dyDescent="0.2">
      <c r="A25" s="20"/>
      <c r="B25" s="20"/>
      <c r="C25" s="20"/>
      <c r="D25" s="292" t="s">
        <v>47</v>
      </c>
      <c r="E25" s="281"/>
      <c r="F25" s="292" t="s">
        <v>299</v>
      </c>
      <c r="G25" s="280"/>
      <c r="H25" s="281"/>
      <c r="I25" s="292" t="s">
        <v>1091</v>
      </c>
      <c r="J25" s="280"/>
      <c r="K25" s="281"/>
      <c r="N25" s="300"/>
      <c r="O25" s="292" t="s">
        <v>47</v>
      </c>
      <c r="P25" s="304"/>
      <c r="Q25" s="292" t="s">
        <v>299</v>
      </c>
      <c r="R25" s="280"/>
      <c r="S25" s="281"/>
      <c r="T25" s="292" t="s">
        <v>33</v>
      </c>
      <c r="U25" s="280"/>
      <c r="V25" s="281"/>
      <c r="W25" s="300"/>
      <c r="X25" s="300"/>
      <c r="Y25" s="305" t="s">
        <v>47</v>
      </c>
      <c r="Z25" s="301"/>
      <c r="AA25" s="305" t="s">
        <v>299</v>
      </c>
      <c r="AB25" s="302"/>
      <c r="AC25" s="301"/>
      <c r="AD25" s="305" t="s">
        <v>33</v>
      </c>
      <c r="AE25" s="302"/>
      <c r="AF25" s="301"/>
      <c r="AG25" s="300"/>
    </row>
    <row r="26" spans="1:33" ht="38.25" customHeight="1" x14ac:dyDescent="0.2">
      <c r="A26" s="80"/>
      <c r="B26" s="20"/>
      <c r="C26" s="20"/>
      <c r="D26" s="295" t="s">
        <v>300</v>
      </c>
      <c r="E26" s="281"/>
      <c r="F26" s="294" t="s">
        <v>301</v>
      </c>
      <c r="G26" s="280"/>
      <c r="H26" s="281"/>
      <c r="I26" s="294" t="s">
        <v>301</v>
      </c>
      <c r="J26" s="280"/>
      <c r="K26" s="281"/>
      <c r="L26" s="81"/>
      <c r="M26" s="81"/>
      <c r="N26" s="303"/>
      <c r="O26" s="295" t="s">
        <v>300</v>
      </c>
      <c r="P26" s="281"/>
      <c r="Q26" s="294" t="s">
        <v>1092</v>
      </c>
      <c r="R26" s="280"/>
      <c r="S26" s="281"/>
      <c r="T26" s="294" t="s">
        <v>1105</v>
      </c>
      <c r="U26" s="280"/>
      <c r="V26" s="281"/>
      <c r="W26" s="303"/>
      <c r="X26" s="303"/>
      <c r="Y26" s="306" t="s">
        <v>300</v>
      </c>
      <c r="Z26" s="281"/>
      <c r="AA26" s="312" t="s">
        <v>1092</v>
      </c>
      <c r="AB26" s="280"/>
      <c r="AC26" s="281"/>
      <c r="AD26" s="312" t="s">
        <v>1106</v>
      </c>
      <c r="AE26" s="280"/>
      <c r="AF26" s="281"/>
      <c r="AG26" s="300"/>
    </row>
    <row r="27" spans="1:33" ht="51.75" customHeight="1" x14ac:dyDescent="0.2">
      <c r="A27" s="80"/>
      <c r="B27" s="20"/>
      <c r="C27" s="20"/>
      <c r="D27" s="296" t="s">
        <v>302</v>
      </c>
      <c r="E27" s="281"/>
      <c r="F27" s="294" t="s">
        <v>303</v>
      </c>
      <c r="G27" s="280"/>
      <c r="H27" s="281"/>
      <c r="I27" s="294" t="s">
        <v>303</v>
      </c>
      <c r="J27" s="280"/>
      <c r="K27" s="281"/>
      <c r="L27" s="81"/>
      <c r="M27" s="81"/>
      <c r="N27" s="303"/>
      <c r="O27" s="296" t="s">
        <v>302</v>
      </c>
      <c r="P27" s="281"/>
      <c r="Q27" s="294" t="s">
        <v>1093</v>
      </c>
      <c r="R27" s="280"/>
      <c r="S27" s="281"/>
      <c r="T27" s="294" t="s">
        <v>1101</v>
      </c>
      <c r="U27" s="280"/>
      <c r="V27" s="281"/>
      <c r="W27" s="303"/>
      <c r="X27" s="303"/>
      <c r="Y27" s="308" t="s">
        <v>302</v>
      </c>
      <c r="Z27" s="309"/>
      <c r="AA27" s="312" t="s">
        <v>1093</v>
      </c>
      <c r="AB27" s="280"/>
      <c r="AC27" s="281"/>
      <c r="AD27" s="312" t="s">
        <v>1107</v>
      </c>
      <c r="AE27" s="280"/>
      <c r="AF27" s="281"/>
      <c r="AG27" s="300"/>
    </row>
    <row r="28" spans="1:33" ht="38.25" customHeight="1" x14ac:dyDescent="0.2">
      <c r="A28" s="80"/>
      <c r="B28" s="20"/>
      <c r="C28" s="20"/>
      <c r="D28" s="297" t="s">
        <v>304</v>
      </c>
      <c r="E28" s="281"/>
      <c r="F28" s="294" t="s">
        <v>305</v>
      </c>
      <c r="G28" s="280"/>
      <c r="H28" s="281"/>
      <c r="I28" s="294" t="s">
        <v>305</v>
      </c>
      <c r="J28" s="280"/>
      <c r="K28" s="281"/>
      <c r="L28" s="81"/>
      <c r="M28" s="81"/>
      <c r="N28" s="303"/>
      <c r="O28" s="297" t="s">
        <v>304</v>
      </c>
      <c r="P28" s="281"/>
      <c r="Q28" s="294" t="s">
        <v>1094</v>
      </c>
      <c r="R28" s="280"/>
      <c r="S28" s="281"/>
      <c r="T28" s="294" t="s">
        <v>1099</v>
      </c>
      <c r="U28" s="280"/>
      <c r="V28" s="281"/>
      <c r="W28" s="303"/>
      <c r="X28" s="303"/>
      <c r="Y28" s="310" t="s">
        <v>304</v>
      </c>
      <c r="Z28" s="311"/>
      <c r="AA28" s="312" t="s">
        <v>1094</v>
      </c>
      <c r="AB28" s="280"/>
      <c r="AC28" s="281"/>
      <c r="AD28" s="312" t="s">
        <v>1108</v>
      </c>
      <c r="AE28" s="280"/>
      <c r="AF28" s="281"/>
      <c r="AG28" s="300"/>
    </row>
    <row r="29" spans="1:33" ht="38.25" customHeight="1" x14ac:dyDescent="0.2">
      <c r="A29" s="80"/>
      <c r="B29" s="20"/>
      <c r="C29" s="20"/>
      <c r="D29" s="293" t="s">
        <v>306</v>
      </c>
      <c r="E29" s="281"/>
      <c r="F29" s="294" t="s">
        <v>307</v>
      </c>
      <c r="G29" s="280"/>
      <c r="H29" s="281"/>
      <c r="I29" s="294" t="s">
        <v>307</v>
      </c>
      <c r="J29" s="280"/>
      <c r="K29" s="281"/>
      <c r="L29" s="81"/>
      <c r="M29" s="81"/>
      <c r="N29" s="303"/>
      <c r="O29" s="293" t="s">
        <v>306</v>
      </c>
      <c r="P29" s="281"/>
      <c r="Q29" s="294" t="s">
        <v>1095</v>
      </c>
      <c r="R29" s="280"/>
      <c r="S29" s="281"/>
      <c r="T29" s="294" t="s">
        <v>1097</v>
      </c>
      <c r="U29" s="280"/>
      <c r="V29" s="281"/>
      <c r="W29" s="303"/>
      <c r="X29" s="303"/>
      <c r="Y29" s="307" t="s">
        <v>306</v>
      </c>
      <c r="Z29" s="281"/>
      <c r="AA29" s="312" t="s">
        <v>1095</v>
      </c>
      <c r="AB29" s="280"/>
      <c r="AC29" s="281"/>
      <c r="AD29" s="312" t="s">
        <v>1109</v>
      </c>
      <c r="AE29" s="280"/>
      <c r="AF29" s="281"/>
      <c r="AG29" s="300"/>
    </row>
    <row r="30" spans="1:33" ht="50.25" customHeight="1" x14ac:dyDescent="0.2">
      <c r="A30" s="80"/>
      <c r="B30" s="20"/>
      <c r="C30" s="20"/>
      <c r="D30" s="20"/>
      <c r="E30" s="20"/>
      <c r="F30" s="20"/>
      <c r="G30" s="20"/>
      <c r="H30" s="20"/>
      <c r="I30" s="80"/>
      <c r="J30" s="81"/>
      <c r="K30" s="81"/>
      <c r="L30" s="81"/>
      <c r="M30" s="81"/>
      <c r="N30" s="303"/>
      <c r="O30" s="303"/>
      <c r="P30" s="303"/>
      <c r="Q30" s="303"/>
      <c r="R30" s="303"/>
      <c r="S30" s="303"/>
      <c r="T30" s="303"/>
      <c r="U30" s="303"/>
      <c r="V30" s="303"/>
      <c r="W30" s="303"/>
      <c r="X30" s="303"/>
      <c r="Y30" s="303"/>
      <c r="Z30" s="303"/>
      <c r="AA30" s="300"/>
      <c r="AB30" s="300"/>
      <c r="AC30" s="300"/>
      <c r="AD30" s="300"/>
      <c r="AE30" s="300"/>
      <c r="AF30" s="300"/>
      <c r="AG30" s="300"/>
    </row>
    <row r="31" spans="1:33" ht="12.75" customHeight="1" x14ac:dyDescent="0.2">
      <c r="A31" s="20"/>
      <c r="B31" s="20"/>
      <c r="C31" s="20"/>
      <c r="D31" s="20"/>
      <c r="E31" s="20"/>
      <c r="F31" s="20"/>
      <c r="G31" s="20"/>
      <c r="H31" s="20"/>
    </row>
    <row r="32" spans="1:33" ht="12.75" customHeight="1" x14ac:dyDescent="0.2">
      <c r="A32" s="20"/>
      <c r="B32" s="20"/>
      <c r="C32" s="20"/>
      <c r="D32" s="20"/>
      <c r="E32" s="20"/>
      <c r="F32" s="20"/>
      <c r="G32" s="20"/>
      <c r="H32" s="20"/>
    </row>
    <row r="33" spans="1:17" ht="12.75" customHeight="1" x14ac:dyDescent="0.2">
      <c r="A33" s="20"/>
      <c r="B33" s="20"/>
      <c r="C33" s="20"/>
      <c r="D33" s="20"/>
      <c r="E33" s="20"/>
      <c r="F33" s="20"/>
      <c r="G33" s="20"/>
      <c r="H33" s="20"/>
      <c r="O33" t="s">
        <v>47</v>
      </c>
      <c r="P33" t="s">
        <v>33</v>
      </c>
    </row>
    <row r="34" spans="1:17" ht="12.75" customHeight="1" x14ac:dyDescent="0.2">
      <c r="A34" s="20"/>
      <c r="B34" s="20"/>
      <c r="C34" s="20"/>
      <c r="D34" s="20"/>
      <c r="E34" s="20"/>
      <c r="F34" s="20"/>
      <c r="G34" s="20"/>
      <c r="H34" s="20"/>
      <c r="O34" t="s">
        <v>1096</v>
      </c>
      <c r="P34" t="s">
        <v>1097</v>
      </c>
    </row>
    <row r="35" spans="1:17" ht="12.75" customHeight="1" x14ac:dyDescent="0.2">
      <c r="A35" s="20"/>
      <c r="B35" s="20"/>
      <c r="C35" s="20"/>
      <c r="D35" s="20"/>
      <c r="E35" s="20"/>
      <c r="F35" s="20"/>
      <c r="G35" s="20"/>
      <c r="H35" s="20"/>
      <c r="O35" t="s">
        <v>1098</v>
      </c>
      <c r="P35" t="s">
        <v>1099</v>
      </c>
    </row>
    <row r="36" spans="1:17" ht="12.75" customHeight="1" x14ac:dyDescent="0.2">
      <c r="A36" s="20"/>
      <c r="B36" s="20"/>
      <c r="C36" s="20"/>
      <c r="D36" s="20"/>
      <c r="E36" s="20"/>
      <c r="F36" s="20"/>
      <c r="G36" s="20"/>
      <c r="H36" s="20"/>
      <c r="O36" t="s">
        <v>1100</v>
      </c>
      <c r="P36" t="s">
        <v>1101</v>
      </c>
    </row>
    <row r="37" spans="1:17" ht="12.75" customHeight="1" x14ac:dyDescent="0.2">
      <c r="A37" s="20"/>
      <c r="B37" s="20"/>
      <c r="C37" s="20"/>
      <c r="D37" s="20"/>
      <c r="E37" s="20"/>
      <c r="F37" s="20"/>
      <c r="G37" s="20"/>
      <c r="H37" s="20"/>
      <c r="O37" t="s">
        <v>1102</v>
      </c>
      <c r="P37" t="s">
        <v>1103</v>
      </c>
      <c r="Q37" t="s">
        <v>1104</v>
      </c>
    </row>
    <row r="38" spans="1:17" ht="12.75" customHeight="1" x14ac:dyDescent="0.2">
      <c r="A38" s="20"/>
      <c r="B38" s="20"/>
      <c r="C38" s="20"/>
      <c r="D38" s="20"/>
      <c r="E38" s="20"/>
      <c r="F38" s="20"/>
      <c r="G38" s="20"/>
      <c r="H38" s="20"/>
    </row>
    <row r="39" spans="1:17" ht="12.75" customHeight="1" x14ac:dyDescent="0.2">
      <c r="A39" s="20"/>
      <c r="B39" s="20"/>
      <c r="C39" s="20"/>
      <c r="D39" s="20"/>
      <c r="E39" s="20"/>
      <c r="F39" s="20"/>
      <c r="G39" s="20"/>
      <c r="H39" s="20"/>
    </row>
    <row r="40" spans="1:17" ht="12.75" customHeight="1" x14ac:dyDescent="0.2">
      <c r="A40" s="20"/>
      <c r="B40" s="20"/>
      <c r="C40" s="20"/>
      <c r="D40" s="20"/>
      <c r="E40" s="20"/>
      <c r="F40" s="20"/>
      <c r="G40" s="20"/>
      <c r="H40" s="20"/>
    </row>
    <row r="41" spans="1:17" ht="12.75" customHeight="1" x14ac:dyDescent="0.2">
      <c r="A41" s="20"/>
      <c r="B41" s="20"/>
      <c r="C41" s="20"/>
      <c r="D41" s="20"/>
      <c r="E41" s="20"/>
      <c r="F41" s="20"/>
      <c r="G41" s="20"/>
      <c r="H41" s="20"/>
    </row>
    <row r="42" spans="1:17" ht="12.75" customHeight="1" x14ac:dyDescent="0.2">
      <c r="A42" s="20"/>
      <c r="B42" s="20"/>
      <c r="C42" s="20"/>
      <c r="D42" s="20"/>
      <c r="E42" s="20"/>
      <c r="F42" s="20"/>
      <c r="G42" s="20"/>
      <c r="H42" s="20"/>
    </row>
    <row r="43" spans="1:17" ht="12.75" customHeight="1" x14ac:dyDescent="0.2">
      <c r="A43" s="20"/>
      <c r="B43" s="20"/>
      <c r="C43" s="20"/>
      <c r="D43" s="20"/>
      <c r="E43" s="20"/>
      <c r="F43" s="20"/>
      <c r="G43" s="20"/>
      <c r="H43" s="20"/>
    </row>
    <row r="44" spans="1:17" ht="12.75" customHeight="1" x14ac:dyDescent="0.2">
      <c r="A44" s="20"/>
      <c r="B44" s="20"/>
      <c r="C44" s="20"/>
      <c r="D44" s="20"/>
      <c r="E44" s="20"/>
      <c r="F44" s="20"/>
      <c r="G44" s="20"/>
      <c r="H44" s="20"/>
    </row>
    <row r="45" spans="1:17" ht="12.75" customHeight="1" x14ac:dyDescent="0.2">
      <c r="A45" s="20"/>
      <c r="B45" s="20"/>
      <c r="C45" s="20"/>
      <c r="D45" s="20"/>
      <c r="E45" s="20"/>
      <c r="F45" s="20"/>
      <c r="G45" s="20"/>
      <c r="H45" s="20"/>
    </row>
    <row r="46" spans="1:17" ht="12.75" customHeight="1" x14ac:dyDescent="0.2">
      <c r="A46" s="20"/>
      <c r="B46" s="20"/>
      <c r="C46" s="20"/>
      <c r="D46" s="20"/>
      <c r="E46" s="20"/>
      <c r="F46" s="20"/>
      <c r="G46" s="20"/>
      <c r="H46" s="20"/>
    </row>
    <row r="47" spans="1:17" ht="12.75" customHeight="1" x14ac:dyDescent="0.2">
      <c r="A47" s="20"/>
      <c r="B47" s="20"/>
      <c r="C47" s="20"/>
      <c r="D47" s="20"/>
      <c r="E47" s="20"/>
      <c r="F47" s="20"/>
      <c r="G47" s="20"/>
      <c r="H47" s="20"/>
    </row>
    <row r="48" spans="1:17" ht="12.75" customHeight="1" x14ac:dyDescent="0.2">
      <c r="A48" s="20"/>
      <c r="B48" s="20"/>
      <c r="C48" s="20"/>
      <c r="D48" s="20"/>
      <c r="E48" s="20"/>
      <c r="F48" s="20"/>
      <c r="G48" s="20"/>
      <c r="H48" s="20"/>
    </row>
    <row r="49" spans="1:1" ht="12.75" customHeight="1" x14ac:dyDescent="0.2">
      <c r="A49" s="20"/>
    </row>
    <row r="50" spans="1:1" ht="12.75" customHeight="1" x14ac:dyDescent="0.2">
      <c r="A50" s="20"/>
    </row>
    <row r="51" spans="1:1" ht="12.75" customHeight="1" x14ac:dyDescent="0.2">
      <c r="A51" s="20"/>
    </row>
    <row r="52" spans="1:1" ht="12.75" customHeight="1" x14ac:dyDescent="0.2">
      <c r="A52" s="20"/>
    </row>
    <row r="53" spans="1:1" ht="12.75" customHeight="1" x14ac:dyDescent="0.2">
      <c r="A53" s="20"/>
    </row>
    <row r="54" spans="1:1" ht="12.75" customHeight="1" x14ac:dyDescent="0.2">
      <c r="A54" s="20"/>
    </row>
    <row r="55" spans="1:1" ht="12.75" customHeight="1" x14ac:dyDescent="0.2">
      <c r="A55" s="20"/>
    </row>
    <row r="56" spans="1:1" ht="12.75" customHeight="1" x14ac:dyDescent="0.2">
      <c r="A56" s="20"/>
    </row>
    <row r="57" spans="1:1" ht="12.75" customHeight="1" x14ac:dyDescent="0.2">
      <c r="A57" s="20"/>
    </row>
    <row r="58" spans="1:1" ht="12.75" customHeight="1" x14ac:dyDescent="0.2">
      <c r="A58" s="20"/>
    </row>
    <row r="59" spans="1:1" ht="12.75" customHeight="1" x14ac:dyDescent="0.2">
      <c r="A59" s="20"/>
    </row>
    <row r="60" spans="1:1" ht="12.75" customHeight="1" x14ac:dyDescent="0.2">
      <c r="A60" s="20"/>
    </row>
    <row r="61" spans="1:1" ht="12.75" customHeight="1" x14ac:dyDescent="0.2">
      <c r="A61" s="20"/>
    </row>
    <row r="62" spans="1:1" ht="22.5" customHeight="1" x14ac:dyDescent="0.2">
      <c r="A62" s="20"/>
    </row>
    <row r="63" spans="1:1" ht="12.75" customHeight="1" x14ac:dyDescent="0.2">
      <c r="A63" s="20"/>
    </row>
    <row r="64" spans="1:1" ht="12.75" customHeight="1" x14ac:dyDescent="0.2">
      <c r="A64" s="20"/>
    </row>
    <row r="65" spans="1:1" ht="12.75" customHeight="1" x14ac:dyDescent="0.2">
      <c r="A65" s="20"/>
    </row>
    <row r="66" spans="1:1" ht="12.75" customHeight="1" x14ac:dyDescent="0.2">
      <c r="A66" s="20"/>
    </row>
    <row r="67" spans="1:1" ht="12.75" customHeight="1" x14ac:dyDescent="0.2">
      <c r="A67" s="20"/>
    </row>
    <row r="68" spans="1:1" ht="12.75" customHeight="1" x14ac:dyDescent="0.2">
      <c r="A68" s="20"/>
    </row>
    <row r="69" spans="1:1" ht="12.75" customHeight="1" x14ac:dyDescent="0.2">
      <c r="A69" s="20"/>
    </row>
    <row r="70" spans="1:1" ht="12.75" customHeight="1" x14ac:dyDescent="0.2">
      <c r="A70" s="20"/>
    </row>
    <row r="71" spans="1:1" ht="12.75" customHeight="1" x14ac:dyDescent="0.2">
      <c r="A71" s="20"/>
    </row>
    <row r="72" spans="1:1" ht="12.75" customHeight="1" x14ac:dyDescent="0.2">
      <c r="A72" s="20"/>
    </row>
    <row r="73" spans="1:1" ht="12.75" customHeight="1" x14ac:dyDescent="0.2">
      <c r="A73" s="20"/>
    </row>
    <row r="74" spans="1:1" ht="12.75" customHeight="1" x14ac:dyDescent="0.2">
      <c r="A74" s="20"/>
    </row>
    <row r="75" spans="1:1" ht="12.75" customHeight="1" x14ac:dyDescent="0.2">
      <c r="A75" s="20"/>
    </row>
    <row r="76" spans="1:1" ht="12.75" customHeight="1" x14ac:dyDescent="0.2">
      <c r="A76" s="20"/>
    </row>
    <row r="77" spans="1:1" ht="12.75" customHeight="1" x14ac:dyDescent="0.2">
      <c r="A77" s="20"/>
    </row>
    <row r="78" spans="1:1" ht="12.75" customHeight="1" x14ac:dyDescent="0.2">
      <c r="A78" s="20"/>
    </row>
    <row r="79" spans="1:1" ht="12.75" customHeight="1" x14ac:dyDescent="0.2">
      <c r="A79" s="20"/>
    </row>
    <row r="80" spans="1:1" ht="22.5" customHeight="1" x14ac:dyDescent="0.2">
      <c r="A80" s="20"/>
    </row>
    <row r="81" spans="1:1" ht="12.75" customHeight="1" x14ac:dyDescent="0.2">
      <c r="A81" s="20"/>
    </row>
    <row r="82" spans="1:1" ht="12.75" customHeight="1" x14ac:dyDescent="0.2">
      <c r="A82" s="20"/>
    </row>
    <row r="83" spans="1:1" ht="12.75" customHeight="1" x14ac:dyDescent="0.2">
      <c r="A83" s="20"/>
    </row>
    <row r="84" spans="1:1" ht="12.75" customHeight="1" x14ac:dyDescent="0.2">
      <c r="A84" s="20"/>
    </row>
    <row r="85" spans="1:1" ht="12.75" customHeight="1" x14ac:dyDescent="0.2">
      <c r="A85" s="20"/>
    </row>
    <row r="86" spans="1:1" ht="12.75" customHeight="1" x14ac:dyDescent="0.2">
      <c r="A86" s="20"/>
    </row>
    <row r="87" spans="1:1" ht="12.75" customHeight="1" x14ac:dyDescent="0.2">
      <c r="A87" s="20"/>
    </row>
    <row r="88" spans="1:1" ht="12.75" customHeight="1" x14ac:dyDescent="0.2">
      <c r="A88" s="20"/>
    </row>
    <row r="89" spans="1:1" ht="12.75" customHeight="1" x14ac:dyDescent="0.2">
      <c r="A89" s="20"/>
    </row>
    <row r="90" spans="1:1" ht="12.75" customHeight="1" x14ac:dyDescent="0.2">
      <c r="A90" s="20"/>
    </row>
    <row r="91" spans="1:1" ht="12.75" customHeight="1" x14ac:dyDescent="0.2">
      <c r="A91" s="20"/>
    </row>
    <row r="92" spans="1:1" ht="12.75" customHeight="1" x14ac:dyDescent="0.2">
      <c r="A92" s="20"/>
    </row>
    <row r="93" spans="1:1" ht="12.75" customHeight="1" x14ac:dyDescent="0.2">
      <c r="A93" s="20"/>
    </row>
    <row r="94" spans="1:1" ht="12.75" customHeight="1" x14ac:dyDescent="0.2">
      <c r="A94" s="20"/>
    </row>
    <row r="95" spans="1:1" ht="12.75" customHeight="1" x14ac:dyDescent="0.2">
      <c r="A95" s="20"/>
    </row>
    <row r="96" spans="1:1" ht="12.75" customHeight="1" x14ac:dyDescent="0.2">
      <c r="A96" s="20"/>
    </row>
    <row r="97" spans="1:1" ht="12.75" customHeight="1" x14ac:dyDescent="0.2">
      <c r="A97" s="20"/>
    </row>
    <row r="98" spans="1:1" ht="12.75" customHeight="1" x14ac:dyDescent="0.2">
      <c r="A98" s="20"/>
    </row>
    <row r="99" spans="1:1" ht="12.75" customHeight="1" x14ac:dyDescent="0.2">
      <c r="A99" s="20"/>
    </row>
    <row r="100" spans="1:1" ht="12.75" customHeight="1" x14ac:dyDescent="0.2">
      <c r="A100" s="20"/>
    </row>
    <row r="101" spans="1:1" ht="12.75" customHeight="1" x14ac:dyDescent="0.2">
      <c r="A101" s="20"/>
    </row>
    <row r="102" spans="1:1" ht="12.75" customHeight="1" x14ac:dyDescent="0.2">
      <c r="A102" s="20"/>
    </row>
    <row r="103" spans="1:1" ht="12.75" customHeight="1" x14ac:dyDescent="0.2">
      <c r="A103" s="20"/>
    </row>
    <row r="104" spans="1:1" ht="12.75" customHeight="1" x14ac:dyDescent="0.2">
      <c r="A104" s="20"/>
    </row>
    <row r="105" spans="1:1" ht="12.75" customHeight="1" x14ac:dyDescent="0.2">
      <c r="A105" s="20"/>
    </row>
    <row r="106" spans="1:1" ht="12.75" customHeight="1" x14ac:dyDescent="0.2">
      <c r="A106" s="20"/>
    </row>
    <row r="107" spans="1:1" ht="12.75" customHeight="1" x14ac:dyDescent="0.2">
      <c r="A107" s="20"/>
    </row>
    <row r="108" spans="1:1" ht="22.5" customHeight="1" x14ac:dyDescent="0.2">
      <c r="A108" s="20"/>
    </row>
    <row r="109" spans="1:1" ht="12.75" customHeight="1" x14ac:dyDescent="0.2">
      <c r="A109" s="20"/>
    </row>
    <row r="110" spans="1:1" ht="12.75" customHeight="1" x14ac:dyDescent="0.2">
      <c r="A110" s="20"/>
    </row>
    <row r="111" spans="1:1" ht="12.75" customHeight="1" x14ac:dyDescent="0.2">
      <c r="A111" s="20"/>
    </row>
    <row r="112" spans="1:1" ht="12.75" customHeight="1" x14ac:dyDescent="0.2">
      <c r="A112" s="20"/>
    </row>
    <row r="113" spans="1:1" ht="12.75" customHeight="1" x14ac:dyDescent="0.2">
      <c r="A113" s="20"/>
    </row>
    <row r="114" spans="1:1" ht="12.75" customHeight="1" x14ac:dyDescent="0.2">
      <c r="A114" s="20"/>
    </row>
    <row r="115" spans="1:1" ht="12.75" customHeight="1" x14ac:dyDescent="0.2">
      <c r="A115" s="20"/>
    </row>
    <row r="116" spans="1:1" ht="12.75" customHeight="1" x14ac:dyDescent="0.2">
      <c r="A116" s="20"/>
    </row>
    <row r="117" spans="1:1" ht="12.75" customHeight="1" x14ac:dyDescent="0.2">
      <c r="A117" s="20"/>
    </row>
    <row r="118" spans="1:1" ht="12.75" customHeight="1" x14ac:dyDescent="0.2">
      <c r="A118" s="20"/>
    </row>
    <row r="119" spans="1:1" ht="12.75" customHeight="1" x14ac:dyDescent="0.2">
      <c r="A119" s="20"/>
    </row>
    <row r="120" spans="1:1" ht="12.75" customHeight="1" x14ac:dyDescent="0.2">
      <c r="A120" s="20"/>
    </row>
    <row r="121" spans="1:1" ht="12.75" customHeight="1" x14ac:dyDescent="0.2">
      <c r="A121" s="20"/>
    </row>
    <row r="122" spans="1:1" ht="12.75" customHeight="1" x14ac:dyDescent="0.2">
      <c r="A122" s="20"/>
    </row>
    <row r="123" spans="1:1" ht="12.75" customHeight="1" x14ac:dyDescent="0.2">
      <c r="A123" s="20"/>
    </row>
    <row r="124" spans="1:1" ht="12.75" customHeight="1" x14ac:dyDescent="0.2">
      <c r="A124" s="20"/>
    </row>
    <row r="125" spans="1:1" ht="12.75" customHeight="1" x14ac:dyDescent="0.2">
      <c r="A125" s="20"/>
    </row>
    <row r="126" spans="1:1" ht="12.75" customHeight="1" x14ac:dyDescent="0.2">
      <c r="A126" s="20"/>
    </row>
    <row r="127" spans="1:1" ht="12.75" customHeight="1" x14ac:dyDescent="0.2">
      <c r="A127" s="20"/>
    </row>
    <row r="128" spans="1:1" ht="12.75" customHeight="1" x14ac:dyDescent="0.2">
      <c r="A128" s="20"/>
    </row>
    <row r="129" spans="1:1" ht="12.75" customHeight="1" x14ac:dyDescent="0.2">
      <c r="A129" s="20"/>
    </row>
    <row r="130" spans="1:1" ht="12.75" customHeight="1" x14ac:dyDescent="0.2">
      <c r="A130" s="20"/>
    </row>
    <row r="131" spans="1:1" ht="12.75" customHeight="1" x14ac:dyDescent="0.2">
      <c r="A131" s="20"/>
    </row>
    <row r="132" spans="1:1" ht="12.75" customHeight="1" x14ac:dyDescent="0.2">
      <c r="A132" s="20"/>
    </row>
    <row r="133" spans="1:1" ht="12.75" customHeight="1" x14ac:dyDescent="0.2">
      <c r="A133" s="20"/>
    </row>
    <row r="134" spans="1:1" ht="12.75" customHeight="1" x14ac:dyDescent="0.2">
      <c r="A134" s="20"/>
    </row>
    <row r="135" spans="1:1" ht="12.75" customHeight="1" x14ac:dyDescent="0.2">
      <c r="A135" s="20"/>
    </row>
    <row r="136" spans="1:1" ht="12.75" customHeight="1" x14ac:dyDescent="0.2">
      <c r="A136" s="20"/>
    </row>
    <row r="137" spans="1:1" ht="12.75" customHeight="1" x14ac:dyDescent="0.2">
      <c r="A137" s="20"/>
    </row>
    <row r="138" spans="1:1" ht="12.75" customHeight="1" x14ac:dyDescent="0.2">
      <c r="A138" s="20"/>
    </row>
    <row r="139" spans="1:1" ht="12.75" customHeight="1" x14ac:dyDescent="0.2">
      <c r="A139" s="20"/>
    </row>
    <row r="140" spans="1:1" ht="12.75" customHeight="1" x14ac:dyDescent="0.2">
      <c r="A140" s="20"/>
    </row>
    <row r="141" spans="1:1" ht="12.75" customHeight="1" x14ac:dyDescent="0.2">
      <c r="A141" s="20"/>
    </row>
    <row r="142" spans="1:1" ht="12.75" customHeight="1" x14ac:dyDescent="0.2">
      <c r="A142" s="20"/>
    </row>
    <row r="143" spans="1:1" ht="12.75" customHeight="1" x14ac:dyDescent="0.2">
      <c r="A143" s="20"/>
    </row>
    <row r="144" spans="1:1" ht="12.75" customHeight="1" x14ac:dyDescent="0.2">
      <c r="A144" s="20"/>
    </row>
    <row r="145" spans="1:1" ht="12.75" customHeight="1" x14ac:dyDescent="0.2">
      <c r="A145" s="20"/>
    </row>
    <row r="146" spans="1:1" ht="12.75" customHeight="1" x14ac:dyDescent="0.2">
      <c r="A146" s="20"/>
    </row>
    <row r="147" spans="1:1" ht="12.75" customHeight="1" x14ac:dyDescent="0.2">
      <c r="A147" s="20"/>
    </row>
    <row r="148" spans="1:1" ht="12.75" customHeight="1" x14ac:dyDescent="0.2">
      <c r="A148" s="20"/>
    </row>
    <row r="149" spans="1:1" ht="12.75" customHeight="1" x14ac:dyDescent="0.2">
      <c r="A149" s="20"/>
    </row>
    <row r="150" spans="1:1" ht="12.75" customHeight="1" x14ac:dyDescent="0.2">
      <c r="A150" s="20"/>
    </row>
    <row r="151" spans="1:1" ht="12.75" customHeight="1" x14ac:dyDescent="0.2">
      <c r="A151" s="20"/>
    </row>
    <row r="152" spans="1:1" ht="12.75" customHeight="1" x14ac:dyDescent="0.2">
      <c r="A152" s="20"/>
    </row>
    <row r="153" spans="1:1" ht="12.75" customHeight="1" x14ac:dyDescent="0.2">
      <c r="A153" s="20"/>
    </row>
    <row r="154" spans="1:1" ht="12.75" customHeight="1" x14ac:dyDescent="0.2">
      <c r="A154" s="20"/>
    </row>
    <row r="155" spans="1:1" ht="12.75" customHeight="1" x14ac:dyDescent="0.2">
      <c r="A155" s="20"/>
    </row>
    <row r="156" spans="1:1" ht="12.75" customHeight="1" x14ac:dyDescent="0.2">
      <c r="A156" s="20"/>
    </row>
    <row r="157" spans="1:1" ht="12.75" customHeight="1" x14ac:dyDescent="0.2">
      <c r="A157" s="20"/>
    </row>
    <row r="158" spans="1:1" ht="12.75" customHeight="1" x14ac:dyDescent="0.2">
      <c r="A158" s="20"/>
    </row>
    <row r="159" spans="1:1" ht="12.75" customHeight="1" x14ac:dyDescent="0.2">
      <c r="A159" s="20"/>
    </row>
    <row r="160" spans="1:1" ht="12.75" customHeight="1" x14ac:dyDescent="0.2">
      <c r="A160" s="20"/>
    </row>
    <row r="161" spans="1:1" ht="12.75" customHeight="1" x14ac:dyDescent="0.2">
      <c r="A161" s="20"/>
    </row>
    <row r="162" spans="1:1" ht="12.75" customHeight="1" x14ac:dyDescent="0.2">
      <c r="A162" s="20"/>
    </row>
    <row r="163" spans="1:1" ht="12.75" customHeight="1" x14ac:dyDescent="0.2">
      <c r="A163" s="20"/>
    </row>
    <row r="164" spans="1:1" ht="12.75" customHeight="1" x14ac:dyDescent="0.2">
      <c r="A164" s="20"/>
    </row>
    <row r="165" spans="1:1" ht="12.75" customHeight="1" x14ac:dyDescent="0.2">
      <c r="A165" s="20"/>
    </row>
    <row r="166" spans="1:1" ht="12.75" customHeight="1" x14ac:dyDescent="0.2">
      <c r="A166" s="20"/>
    </row>
    <row r="167" spans="1:1" ht="12.75" customHeight="1" x14ac:dyDescent="0.2">
      <c r="A167" s="20"/>
    </row>
    <row r="168" spans="1:1" ht="12.75" customHeight="1" x14ac:dyDescent="0.2">
      <c r="A168" s="20"/>
    </row>
    <row r="169" spans="1:1" ht="12.75" customHeight="1" x14ac:dyDescent="0.2">
      <c r="A169" s="20"/>
    </row>
    <row r="170" spans="1:1" ht="12.75" customHeight="1" x14ac:dyDescent="0.2">
      <c r="A170" s="20"/>
    </row>
    <row r="171" spans="1:1" ht="12.75" customHeight="1" x14ac:dyDescent="0.2">
      <c r="A171" s="20"/>
    </row>
    <row r="172" spans="1:1" ht="12.75" customHeight="1" x14ac:dyDescent="0.2">
      <c r="A172" s="20"/>
    </row>
    <row r="173" spans="1:1" ht="12.75" customHeight="1" x14ac:dyDescent="0.2">
      <c r="A173" s="20"/>
    </row>
    <row r="174" spans="1:1" ht="12.75" customHeight="1" x14ac:dyDescent="0.2">
      <c r="A174" s="20"/>
    </row>
    <row r="175" spans="1:1" ht="12.75" customHeight="1" x14ac:dyDescent="0.2">
      <c r="A175" s="20"/>
    </row>
    <row r="176" spans="1:1" ht="12.75" customHeight="1" x14ac:dyDescent="0.2">
      <c r="A176" s="20"/>
    </row>
    <row r="177" spans="1:1" ht="12.75" customHeight="1" x14ac:dyDescent="0.2">
      <c r="A177" s="20"/>
    </row>
    <row r="178" spans="1:1" ht="12.75" customHeight="1" x14ac:dyDescent="0.2">
      <c r="A178" s="20"/>
    </row>
    <row r="179" spans="1:1" ht="12.75" customHeight="1" x14ac:dyDescent="0.2">
      <c r="A179" s="20"/>
    </row>
    <row r="180" spans="1:1" ht="12.75" customHeight="1" x14ac:dyDescent="0.2">
      <c r="A180" s="20"/>
    </row>
    <row r="181" spans="1:1" ht="12.75" customHeight="1" x14ac:dyDescent="0.2">
      <c r="A181" s="20"/>
    </row>
    <row r="182" spans="1:1" ht="12.75" customHeight="1" x14ac:dyDescent="0.2">
      <c r="A182" s="20"/>
    </row>
    <row r="183" spans="1:1" ht="12.75" customHeight="1" x14ac:dyDescent="0.2">
      <c r="A183" s="20"/>
    </row>
    <row r="184" spans="1:1" ht="12.75" customHeight="1" x14ac:dyDescent="0.2">
      <c r="A184" s="20"/>
    </row>
    <row r="185" spans="1:1" ht="12.75" customHeight="1" x14ac:dyDescent="0.2">
      <c r="A185" s="20"/>
    </row>
    <row r="186" spans="1:1" ht="12.75" customHeight="1" x14ac:dyDescent="0.2">
      <c r="A186" s="20"/>
    </row>
    <row r="187" spans="1:1" ht="12.75" customHeight="1" x14ac:dyDescent="0.2">
      <c r="A187" s="20"/>
    </row>
    <row r="188" spans="1:1" ht="12.75" customHeight="1" x14ac:dyDescent="0.2">
      <c r="A188" s="20"/>
    </row>
    <row r="189" spans="1:1" ht="12.75" customHeight="1" x14ac:dyDescent="0.2">
      <c r="A189" s="20"/>
    </row>
    <row r="190" spans="1:1" ht="12.75" customHeight="1" x14ac:dyDescent="0.2">
      <c r="A190" s="20"/>
    </row>
    <row r="191" spans="1:1" ht="12.75" customHeight="1" x14ac:dyDescent="0.2">
      <c r="A191" s="20"/>
    </row>
    <row r="192" spans="1:1" ht="12.75" customHeight="1" x14ac:dyDescent="0.2">
      <c r="A192" s="20"/>
    </row>
    <row r="193" spans="1:1" ht="12.75" customHeight="1" x14ac:dyDescent="0.2">
      <c r="A193" s="20"/>
    </row>
    <row r="194" spans="1:1" ht="12.75" customHeight="1" x14ac:dyDescent="0.2">
      <c r="A194" s="20"/>
    </row>
    <row r="195" spans="1:1" ht="12.75" customHeight="1" x14ac:dyDescent="0.2">
      <c r="A195" s="20"/>
    </row>
    <row r="196" spans="1:1" ht="12.75" customHeight="1" x14ac:dyDescent="0.2">
      <c r="A196" s="20"/>
    </row>
    <row r="197" spans="1:1" ht="12.75" customHeight="1" x14ac:dyDescent="0.2">
      <c r="A197" s="20"/>
    </row>
    <row r="198" spans="1:1" ht="12.75" customHeight="1" x14ac:dyDescent="0.2">
      <c r="A198" s="20"/>
    </row>
    <row r="199" spans="1:1" ht="12.75" customHeight="1" x14ac:dyDescent="0.2">
      <c r="A199" s="20"/>
    </row>
    <row r="200" spans="1:1" ht="12.75" customHeight="1" x14ac:dyDescent="0.2">
      <c r="A200" s="20"/>
    </row>
    <row r="201" spans="1:1" ht="12.75" customHeight="1" x14ac:dyDescent="0.2">
      <c r="A201" s="20"/>
    </row>
    <row r="202" spans="1:1" ht="12.75" customHeight="1" x14ac:dyDescent="0.2">
      <c r="A202" s="20"/>
    </row>
    <row r="203" spans="1:1" ht="12.75" customHeight="1" x14ac:dyDescent="0.2">
      <c r="A203" s="20"/>
    </row>
    <row r="204" spans="1:1" ht="12.75" customHeight="1" x14ac:dyDescent="0.2">
      <c r="A204" s="20"/>
    </row>
    <row r="205" spans="1:1" ht="12.75" customHeight="1" x14ac:dyDescent="0.2">
      <c r="A205" s="20"/>
    </row>
    <row r="206" spans="1:1" ht="12.75" customHeight="1" x14ac:dyDescent="0.2">
      <c r="A206" s="20"/>
    </row>
    <row r="207" spans="1:1" ht="12.75" customHeight="1" x14ac:dyDescent="0.2">
      <c r="A207" s="20"/>
    </row>
    <row r="208" spans="1:1" ht="12.75" customHeight="1" x14ac:dyDescent="0.2">
      <c r="A208" s="20"/>
    </row>
    <row r="209" spans="1:1" ht="12.75" customHeight="1" x14ac:dyDescent="0.2">
      <c r="A209" s="20"/>
    </row>
    <row r="210" spans="1:1" ht="12.75" customHeight="1" x14ac:dyDescent="0.2">
      <c r="A210" s="20"/>
    </row>
    <row r="211" spans="1:1" ht="12.75" customHeight="1" x14ac:dyDescent="0.2">
      <c r="A211" s="20"/>
    </row>
    <row r="212" spans="1:1" ht="12.75" customHeight="1" x14ac:dyDescent="0.2">
      <c r="A212" s="20"/>
    </row>
    <row r="213" spans="1:1" ht="12.75" customHeight="1" x14ac:dyDescent="0.2">
      <c r="A213" s="20"/>
    </row>
    <row r="214" spans="1:1" ht="12.75" customHeight="1" x14ac:dyDescent="0.2">
      <c r="A214" s="20"/>
    </row>
    <row r="215" spans="1:1" ht="12.75" customHeight="1" x14ac:dyDescent="0.2">
      <c r="A215" s="20"/>
    </row>
    <row r="216" spans="1:1" ht="12.75" customHeight="1" x14ac:dyDescent="0.2">
      <c r="A216" s="20"/>
    </row>
    <row r="217" spans="1:1" ht="12.75" customHeight="1" x14ac:dyDescent="0.2">
      <c r="A217" s="20"/>
    </row>
    <row r="218" spans="1:1" ht="12.75" customHeight="1" x14ac:dyDescent="0.2">
      <c r="A218" s="20"/>
    </row>
    <row r="219" spans="1:1" ht="12.75" customHeight="1" x14ac:dyDescent="0.2">
      <c r="A219" s="20"/>
    </row>
    <row r="220" spans="1:1" ht="12.75" customHeight="1" x14ac:dyDescent="0.2">
      <c r="A220" s="20"/>
    </row>
    <row r="221" spans="1:1" ht="12.75" customHeight="1" x14ac:dyDescent="0.2">
      <c r="A221" s="20"/>
    </row>
    <row r="222" spans="1:1" ht="12.75" customHeight="1" x14ac:dyDescent="0.2">
      <c r="A222" s="20"/>
    </row>
    <row r="223" spans="1:1" ht="12.75" customHeight="1" x14ac:dyDescent="0.2">
      <c r="A223" s="20"/>
    </row>
    <row r="224" spans="1:1" ht="12.75" customHeight="1" x14ac:dyDescent="0.2">
      <c r="A224" s="20"/>
    </row>
    <row r="225" spans="1:1" ht="12.75" customHeight="1" x14ac:dyDescent="0.2">
      <c r="A225" s="20"/>
    </row>
    <row r="226" spans="1:1" ht="12.75" customHeight="1" x14ac:dyDescent="0.2">
      <c r="A226" s="20"/>
    </row>
    <row r="227" spans="1:1" ht="12.75" customHeight="1" x14ac:dyDescent="0.2">
      <c r="A227" s="20"/>
    </row>
    <row r="228" spans="1:1" ht="12.75" customHeight="1" x14ac:dyDescent="0.2">
      <c r="A228" s="20"/>
    </row>
    <row r="229" spans="1:1" ht="12.75" customHeight="1" x14ac:dyDescent="0.2">
      <c r="A229" s="20"/>
    </row>
    <row r="230" spans="1:1" ht="15.75" customHeight="1" x14ac:dyDescent="0.2"/>
    <row r="231" spans="1:1" ht="15.75" customHeight="1" x14ac:dyDescent="0.2"/>
    <row r="232" spans="1:1" ht="15.75" customHeight="1" x14ac:dyDescent="0.2"/>
    <row r="233" spans="1:1" ht="15.75" customHeight="1" x14ac:dyDescent="0.2"/>
    <row r="234" spans="1:1" ht="15.75" customHeight="1" x14ac:dyDescent="0.2"/>
    <row r="235" spans="1:1" ht="15.75" customHeight="1" x14ac:dyDescent="0.2"/>
    <row r="236" spans="1:1" ht="15.75" customHeight="1" x14ac:dyDescent="0.2"/>
    <row r="237" spans="1:1" ht="15.75" customHeight="1" x14ac:dyDescent="0.2"/>
    <row r="238" spans="1:1" ht="15.75" customHeight="1" x14ac:dyDescent="0.2"/>
    <row r="239" spans="1:1" ht="15.75" customHeight="1" x14ac:dyDescent="0.2"/>
    <row r="240" spans="1:1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8">
    <mergeCell ref="AD28:AF28"/>
    <mergeCell ref="Y29:Z29"/>
    <mergeCell ref="AA29:AC29"/>
    <mergeCell ref="AD29:AF29"/>
    <mergeCell ref="AD25:AF25"/>
    <mergeCell ref="Y26:Z26"/>
    <mergeCell ref="AA26:AC26"/>
    <mergeCell ref="AD26:AF26"/>
    <mergeCell ref="Y27:Z27"/>
    <mergeCell ref="AA27:AC27"/>
    <mergeCell ref="AD27:AF27"/>
    <mergeCell ref="O29:P29"/>
    <mergeCell ref="Q29:S29"/>
    <mergeCell ref="T29:V29"/>
    <mergeCell ref="Y25:Z25"/>
    <mergeCell ref="AA25:AC25"/>
    <mergeCell ref="Y28:Z28"/>
    <mergeCell ref="AA28:AC28"/>
    <mergeCell ref="O27:P27"/>
    <mergeCell ref="Q27:S27"/>
    <mergeCell ref="T27:V27"/>
    <mergeCell ref="O28:P28"/>
    <mergeCell ref="Q28:S28"/>
    <mergeCell ref="T28:V28"/>
    <mergeCell ref="O25:P25"/>
    <mergeCell ref="Q25:S25"/>
    <mergeCell ref="T25:V25"/>
    <mergeCell ref="O26:P26"/>
    <mergeCell ref="Q26:S26"/>
    <mergeCell ref="T26:V26"/>
    <mergeCell ref="I28:K28"/>
    <mergeCell ref="I29:K29"/>
    <mergeCell ref="H20:I20"/>
    <mergeCell ref="H21:I21"/>
    <mergeCell ref="B23:I23"/>
    <mergeCell ref="F25:H25"/>
    <mergeCell ref="D29:E29"/>
    <mergeCell ref="F29:H29"/>
    <mergeCell ref="D25:E25"/>
    <mergeCell ref="D26:E26"/>
    <mergeCell ref="F26:H26"/>
    <mergeCell ref="D27:E27"/>
    <mergeCell ref="F27:H27"/>
    <mergeCell ref="D28:E28"/>
    <mergeCell ref="F28:H28"/>
    <mergeCell ref="I25:K25"/>
    <mergeCell ref="I26:K26"/>
    <mergeCell ref="I27:K27"/>
    <mergeCell ref="H15:I15"/>
    <mergeCell ref="H16:I16"/>
    <mergeCell ref="H17:I17"/>
    <mergeCell ref="H18:I18"/>
    <mergeCell ref="H19:I19"/>
    <mergeCell ref="B2:I2"/>
    <mergeCell ref="B4:B9"/>
    <mergeCell ref="D11:H11"/>
    <mergeCell ref="B13:D13"/>
    <mergeCell ref="F13:I13"/>
  </mergeCells>
  <pageMargins left="0.75" right="0.75" top="1" bottom="1" header="0" footer="0"/>
  <pageSetup scale="56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660066"/>
  </sheetPr>
  <dimension ref="A1:Z1000"/>
  <sheetViews>
    <sheetView workbookViewId="0">
      <selection sqref="A1:F1"/>
    </sheetView>
  </sheetViews>
  <sheetFormatPr baseColWidth="10" defaultColWidth="12.7109375" defaultRowHeight="15" customHeight="1" x14ac:dyDescent="0.2"/>
  <cols>
    <col min="1" max="1" width="4.140625" customWidth="1"/>
    <col min="2" max="2" width="10.42578125" customWidth="1"/>
    <col min="3" max="3" width="14.140625" customWidth="1"/>
    <col min="4" max="5" width="31.7109375" customWidth="1"/>
    <col min="6" max="6" width="30.140625" customWidth="1"/>
    <col min="7" max="26" width="10.42578125" customWidth="1"/>
  </cols>
  <sheetData>
    <row r="1" spans="1:6" ht="39" customHeight="1" x14ac:dyDescent="0.2">
      <c r="A1" s="298" t="s">
        <v>308</v>
      </c>
      <c r="B1" s="299"/>
      <c r="C1" s="299"/>
      <c r="D1" s="299"/>
      <c r="E1" s="299"/>
      <c r="F1" s="283"/>
    </row>
    <row r="2" spans="1:6" ht="29.25" customHeight="1" x14ac:dyDescent="0.2">
      <c r="A2" s="82" t="s">
        <v>309</v>
      </c>
      <c r="B2" s="83" t="s">
        <v>310</v>
      </c>
      <c r="C2" s="83" t="s">
        <v>36</v>
      </c>
      <c r="D2" s="83" t="s">
        <v>311</v>
      </c>
      <c r="E2" s="83" t="s">
        <v>312</v>
      </c>
      <c r="F2" s="84" t="s">
        <v>313</v>
      </c>
    </row>
    <row r="3" spans="1:6" ht="26.25" customHeight="1" x14ac:dyDescent="0.2">
      <c r="A3" s="85">
        <v>1</v>
      </c>
      <c r="B3" s="86" t="s">
        <v>314</v>
      </c>
      <c r="C3" s="87" t="s">
        <v>71</v>
      </c>
      <c r="D3" s="88" t="s">
        <v>315</v>
      </c>
      <c r="E3" s="88" t="s">
        <v>141</v>
      </c>
      <c r="F3" s="88" t="s">
        <v>316</v>
      </c>
    </row>
    <row r="4" spans="1:6" ht="26.25" customHeight="1" x14ac:dyDescent="0.2">
      <c r="A4" s="89">
        <f t="shared" ref="A4:A83" si="0">A3+1</f>
        <v>2</v>
      </c>
      <c r="B4" s="90" t="s">
        <v>317</v>
      </c>
      <c r="C4" s="91" t="s">
        <v>71</v>
      </c>
      <c r="D4" s="92" t="s">
        <v>318</v>
      </c>
      <c r="E4" s="92" t="s">
        <v>141</v>
      </c>
      <c r="F4" s="92" t="s">
        <v>319</v>
      </c>
    </row>
    <row r="5" spans="1:6" ht="26.25" customHeight="1" x14ac:dyDescent="0.2">
      <c r="A5" s="89">
        <f t="shared" si="0"/>
        <v>3</v>
      </c>
      <c r="B5" s="90" t="s">
        <v>320</v>
      </c>
      <c r="C5" s="91" t="s">
        <v>71</v>
      </c>
      <c r="D5" s="92" t="s">
        <v>87</v>
      </c>
      <c r="E5" s="92" t="s">
        <v>141</v>
      </c>
      <c r="F5" s="92" t="s">
        <v>319</v>
      </c>
    </row>
    <row r="6" spans="1:6" ht="26.25" customHeight="1" x14ac:dyDescent="0.2">
      <c r="A6" s="89">
        <f t="shared" si="0"/>
        <v>4</v>
      </c>
      <c r="B6" s="90" t="s">
        <v>321</v>
      </c>
      <c r="C6" s="91" t="s">
        <v>71</v>
      </c>
      <c r="D6" s="92" t="s">
        <v>322</v>
      </c>
      <c r="E6" s="92" t="s">
        <v>141</v>
      </c>
      <c r="F6" s="92" t="s">
        <v>323</v>
      </c>
    </row>
    <row r="7" spans="1:6" ht="26.25" customHeight="1" x14ac:dyDescent="0.2">
      <c r="A7" s="89">
        <f t="shared" si="0"/>
        <v>5</v>
      </c>
      <c r="B7" s="90" t="s">
        <v>324</v>
      </c>
      <c r="C7" s="91" t="s">
        <v>71</v>
      </c>
      <c r="D7" s="92" t="s">
        <v>325</v>
      </c>
      <c r="E7" s="92" t="s">
        <v>326</v>
      </c>
      <c r="F7" s="92" t="s">
        <v>319</v>
      </c>
    </row>
    <row r="8" spans="1:6" ht="26.25" customHeight="1" x14ac:dyDescent="0.2">
      <c r="A8" s="89">
        <f t="shared" si="0"/>
        <v>6</v>
      </c>
      <c r="B8" s="90" t="s">
        <v>327</v>
      </c>
      <c r="C8" s="91" t="s">
        <v>71</v>
      </c>
      <c r="D8" s="92" t="s">
        <v>160</v>
      </c>
      <c r="E8" s="92" t="s">
        <v>95</v>
      </c>
      <c r="F8" s="92" t="s">
        <v>161</v>
      </c>
    </row>
    <row r="9" spans="1:6" ht="26.25" customHeight="1" x14ac:dyDescent="0.2">
      <c r="A9" s="89">
        <f t="shared" si="0"/>
        <v>7</v>
      </c>
      <c r="B9" s="90" t="s">
        <v>328</v>
      </c>
      <c r="C9" s="91" t="s">
        <v>71</v>
      </c>
      <c r="D9" s="92" t="s">
        <v>329</v>
      </c>
      <c r="E9" s="92" t="s">
        <v>95</v>
      </c>
      <c r="F9" s="92" t="s">
        <v>161</v>
      </c>
    </row>
    <row r="10" spans="1:6" ht="26.25" customHeight="1" x14ac:dyDescent="0.2">
      <c r="A10" s="89">
        <f t="shared" si="0"/>
        <v>8</v>
      </c>
      <c r="B10" s="90" t="s">
        <v>330</v>
      </c>
      <c r="C10" s="91" t="s">
        <v>71</v>
      </c>
      <c r="D10" s="92" t="s">
        <v>331</v>
      </c>
      <c r="E10" s="92" t="s">
        <v>332</v>
      </c>
      <c r="F10" s="92" t="s">
        <v>161</v>
      </c>
    </row>
    <row r="11" spans="1:6" ht="26.25" customHeight="1" x14ac:dyDescent="0.2">
      <c r="A11" s="89">
        <f t="shared" si="0"/>
        <v>9</v>
      </c>
      <c r="B11" s="90" t="s">
        <v>333</v>
      </c>
      <c r="C11" s="91" t="s">
        <v>71</v>
      </c>
      <c r="D11" s="92" t="s">
        <v>334</v>
      </c>
      <c r="E11" s="92" t="s">
        <v>335</v>
      </c>
      <c r="F11" s="92" t="s">
        <v>336</v>
      </c>
    </row>
    <row r="12" spans="1:6" ht="26.25" customHeight="1" x14ac:dyDescent="0.2">
      <c r="A12" s="89">
        <f t="shared" si="0"/>
        <v>10</v>
      </c>
      <c r="B12" s="90" t="s">
        <v>337</v>
      </c>
      <c r="C12" s="91" t="s">
        <v>71</v>
      </c>
      <c r="D12" s="92" t="s">
        <v>338</v>
      </c>
      <c r="E12" s="92" t="s">
        <v>339</v>
      </c>
      <c r="F12" s="92" t="s">
        <v>316</v>
      </c>
    </row>
    <row r="13" spans="1:6" ht="26.25" customHeight="1" x14ac:dyDescent="0.2">
      <c r="A13" s="89">
        <f t="shared" si="0"/>
        <v>11</v>
      </c>
      <c r="B13" s="90" t="s">
        <v>340</v>
      </c>
      <c r="C13" s="91" t="s">
        <v>71</v>
      </c>
      <c r="D13" s="92" t="s">
        <v>341</v>
      </c>
      <c r="E13" s="92" t="s">
        <v>342</v>
      </c>
      <c r="F13" s="92" t="s">
        <v>343</v>
      </c>
    </row>
    <row r="14" spans="1:6" ht="26.25" customHeight="1" x14ac:dyDescent="0.2">
      <c r="A14" s="89">
        <f t="shared" si="0"/>
        <v>12</v>
      </c>
      <c r="B14" s="90" t="s">
        <v>344</v>
      </c>
      <c r="C14" s="91" t="s">
        <v>71</v>
      </c>
      <c r="D14" s="92" t="s">
        <v>345</v>
      </c>
      <c r="E14" s="92" t="s">
        <v>346</v>
      </c>
      <c r="F14" s="92" t="s">
        <v>96</v>
      </c>
    </row>
    <row r="15" spans="1:6" ht="26.25" customHeight="1" x14ac:dyDescent="0.2">
      <c r="A15" s="89">
        <f t="shared" si="0"/>
        <v>13</v>
      </c>
      <c r="B15" s="90" t="s">
        <v>347</v>
      </c>
      <c r="C15" s="91" t="s">
        <v>71</v>
      </c>
      <c r="D15" s="92" t="s">
        <v>348</v>
      </c>
      <c r="E15" s="92" t="s">
        <v>349</v>
      </c>
      <c r="F15" s="92" t="s">
        <v>96</v>
      </c>
    </row>
    <row r="16" spans="1:6" ht="26.25" customHeight="1" x14ac:dyDescent="0.2">
      <c r="A16" s="89">
        <f t="shared" si="0"/>
        <v>14</v>
      </c>
      <c r="B16" s="90" t="s">
        <v>350</v>
      </c>
      <c r="C16" s="91" t="s">
        <v>71</v>
      </c>
      <c r="D16" s="92" t="s">
        <v>351</v>
      </c>
      <c r="E16" s="92" t="s">
        <v>352</v>
      </c>
      <c r="F16" s="92" t="s">
        <v>343</v>
      </c>
    </row>
    <row r="17" spans="1:26" ht="26.25" customHeight="1" x14ac:dyDescent="0.2">
      <c r="A17" s="89">
        <f t="shared" si="0"/>
        <v>15</v>
      </c>
      <c r="B17" s="90" t="s">
        <v>353</v>
      </c>
      <c r="C17" s="91" t="s">
        <v>71</v>
      </c>
      <c r="D17" s="92" t="s">
        <v>354</v>
      </c>
      <c r="E17" s="92" t="s">
        <v>355</v>
      </c>
      <c r="F17" s="92" t="s">
        <v>343</v>
      </c>
    </row>
    <row r="18" spans="1:26" ht="26.25" customHeight="1" x14ac:dyDescent="0.2">
      <c r="A18" s="89">
        <f t="shared" si="0"/>
        <v>16</v>
      </c>
      <c r="B18" s="90" t="s">
        <v>356</v>
      </c>
      <c r="C18" s="91" t="s">
        <v>71</v>
      </c>
      <c r="D18" s="92" t="s">
        <v>357</v>
      </c>
      <c r="E18" s="92" t="s">
        <v>358</v>
      </c>
      <c r="F18" s="92" t="s">
        <v>343</v>
      </c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</row>
    <row r="19" spans="1:26" ht="26.25" customHeight="1" x14ac:dyDescent="0.2">
      <c r="A19" s="89">
        <f t="shared" si="0"/>
        <v>17</v>
      </c>
      <c r="B19" s="90" t="s">
        <v>359</v>
      </c>
      <c r="C19" s="91" t="s">
        <v>71</v>
      </c>
      <c r="D19" s="92" t="s">
        <v>360</v>
      </c>
      <c r="E19" s="92" t="s">
        <v>361</v>
      </c>
      <c r="F19" s="92" t="s">
        <v>362</v>
      </c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</row>
    <row r="20" spans="1:26" ht="26.25" customHeight="1" x14ac:dyDescent="0.2">
      <c r="A20" s="89">
        <f t="shared" si="0"/>
        <v>18</v>
      </c>
      <c r="B20" s="90" t="s">
        <v>363</v>
      </c>
      <c r="C20" s="91" t="s">
        <v>71</v>
      </c>
      <c r="D20" s="92" t="s">
        <v>364</v>
      </c>
      <c r="E20" s="92" t="s">
        <v>365</v>
      </c>
      <c r="F20" s="92" t="s">
        <v>343</v>
      </c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</row>
    <row r="21" spans="1:26" ht="26.25" customHeight="1" x14ac:dyDescent="0.2">
      <c r="A21" s="89">
        <f t="shared" si="0"/>
        <v>19</v>
      </c>
      <c r="B21" s="90" t="s">
        <v>366</v>
      </c>
      <c r="C21" s="91" t="s">
        <v>71</v>
      </c>
      <c r="D21" s="92" t="s">
        <v>367</v>
      </c>
      <c r="E21" s="92" t="s">
        <v>368</v>
      </c>
      <c r="F21" s="92" t="s">
        <v>369</v>
      </c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</row>
    <row r="22" spans="1:26" ht="26.25" customHeight="1" x14ac:dyDescent="0.2">
      <c r="A22" s="89">
        <f t="shared" si="0"/>
        <v>20</v>
      </c>
      <c r="B22" s="90" t="s">
        <v>370</v>
      </c>
      <c r="C22" s="91" t="s">
        <v>71</v>
      </c>
      <c r="D22" s="92" t="s">
        <v>371</v>
      </c>
      <c r="E22" s="92" t="s">
        <v>372</v>
      </c>
      <c r="F22" s="92" t="s">
        <v>369</v>
      </c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</row>
    <row r="23" spans="1:26" ht="26.25" customHeight="1" x14ac:dyDescent="0.2">
      <c r="A23" s="89">
        <f t="shared" si="0"/>
        <v>21</v>
      </c>
      <c r="B23" s="90" t="s">
        <v>373</v>
      </c>
      <c r="C23" s="91" t="s">
        <v>71</v>
      </c>
      <c r="D23" s="92" t="s">
        <v>374</v>
      </c>
      <c r="E23" s="92" t="s">
        <v>375</v>
      </c>
      <c r="F23" s="92" t="s">
        <v>376</v>
      </c>
    </row>
    <row r="24" spans="1:26" ht="26.25" customHeight="1" x14ac:dyDescent="0.2">
      <c r="A24" s="89">
        <f t="shared" si="0"/>
        <v>22</v>
      </c>
      <c r="B24" s="90" t="s">
        <v>377</v>
      </c>
      <c r="C24" s="91" t="s">
        <v>71</v>
      </c>
      <c r="D24" s="92" t="s">
        <v>378</v>
      </c>
      <c r="E24" s="92" t="s">
        <v>379</v>
      </c>
      <c r="F24" s="92" t="s">
        <v>380</v>
      </c>
    </row>
    <row r="25" spans="1:26" ht="26.25" customHeight="1" x14ac:dyDescent="0.2">
      <c r="A25" s="89">
        <f t="shared" si="0"/>
        <v>23</v>
      </c>
      <c r="B25" s="90" t="s">
        <v>381</v>
      </c>
      <c r="C25" s="91" t="s">
        <v>71</v>
      </c>
      <c r="D25" s="92" t="s">
        <v>94</v>
      </c>
      <c r="E25" s="92" t="s">
        <v>95</v>
      </c>
      <c r="F25" s="92" t="s">
        <v>96</v>
      </c>
    </row>
    <row r="26" spans="1:26" ht="28.5" customHeight="1" x14ac:dyDescent="0.2">
      <c r="A26" s="89">
        <f t="shared" si="0"/>
        <v>24</v>
      </c>
      <c r="B26" s="90" t="s">
        <v>382</v>
      </c>
      <c r="C26" s="91" t="s">
        <v>71</v>
      </c>
      <c r="D26" s="92" t="s">
        <v>383</v>
      </c>
      <c r="E26" s="92" t="s">
        <v>384</v>
      </c>
      <c r="F26" s="92" t="s">
        <v>319</v>
      </c>
    </row>
    <row r="27" spans="1:26" ht="26.25" customHeight="1" x14ac:dyDescent="0.2">
      <c r="A27" s="89">
        <f t="shared" si="0"/>
        <v>25</v>
      </c>
      <c r="B27" s="90" t="s">
        <v>385</v>
      </c>
      <c r="C27" s="91" t="s">
        <v>71</v>
      </c>
      <c r="D27" s="92" t="s">
        <v>241</v>
      </c>
      <c r="E27" s="92" t="s">
        <v>242</v>
      </c>
      <c r="F27" s="92" t="s">
        <v>386</v>
      </c>
    </row>
    <row r="28" spans="1:26" ht="26.25" customHeight="1" x14ac:dyDescent="0.2">
      <c r="A28" s="89">
        <f t="shared" si="0"/>
        <v>26</v>
      </c>
      <c r="B28" s="90" t="s">
        <v>387</v>
      </c>
      <c r="C28" s="91" t="s">
        <v>388</v>
      </c>
      <c r="D28" s="92"/>
      <c r="E28" s="92"/>
      <c r="F28" s="92"/>
    </row>
    <row r="29" spans="1:26" ht="26.25" customHeight="1" x14ac:dyDescent="0.2">
      <c r="A29" s="89">
        <f t="shared" si="0"/>
        <v>27</v>
      </c>
      <c r="B29" s="93" t="s">
        <v>389</v>
      </c>
      <c r="C29" s="91" t="s">
        <v>237</v>
      </c>
      <c r="D29" s="92" t="s">
        <v>390</v>
      </c>
      <c r="E29" s="92" t="s">
        <v>242</v>
      </c>
      <c r="F29" s="92" t="s">
        <v>391</v>
      </c>
    </row>
    <row r="30" spans="1:26" ht="26.25" customHeight="1" x14ac:dyDescent="0.2">
      <c r="A30" s="89">
        <f t="shared" si="0"/>
        <v>28</v>
      </c>
      <c r="B30" s="93" t="s">
        <v>392</v>
      </c>
      <c r="C30" s="91" t="s">
        <v>237</v>
      </c>
      <c r="D30" s="92" t="s">
        <v>393</v>
      </c>
      <c r="E30" s="92" t="s">
        <v>375</v>
      </c>
      <c r="F30" s="92" t="s">
        <v>394</v>
      </c>
    </row>
    <row r="31" spans="1:26" ht="26.25" customHeight="1" x14ac:dyDescent="0.2">
      <c r="A31" s="89">
        <f t="shared" si="0"/>
        <v>29</v>
      </c>
      <c r="B31" s="93" t="s">
        <v>395</v>
      </c>
      <c r="C31" s="91" t="s">
        <v>237</v>
      </c>
      <c r="D31" s="92" t="s">
        <v>396</v>
      </c>
      <c r="E31" s="92" t="s">
        <v>375</v>
      </c>
      <c r="F31" s="92" t="s">
        <v>394</v>
      </c>
    </row>
    <row r="32" spans="1:26" ht="30.75" customHeight="1" x14ac:dyDescent="0.2">
      <c r="A32" s="89">
        <f t="shared" si="0"/>
        <v>30</v>
      </c>
      <c r="B32" s="93" t="s">
        <v>397</v>
      </c>
      <c r="C32" s="91" t="s">
        <v>237</v>
      </c>
      <c r="D32" s="92" t="s">
        <v>398</v>
      </c>
      <c r="E32" s="92" t="s">
        <v>141</v>
      </c>
      <c r="F32" s="92" t="s">
        <v>399</v>
      </c>
    </row>
    <row r="33" spans="1:7" ht="26.25" customHeight="1" x14ac:dyDescent="0.2">
      <c r="A33" s="89">
        <f t="shared" si="0"/>
        <v>31</v>
      </c>
      <c r="B33" s="93" t="s">
        <v>400</v>
      </c>
      <c r="C33" s="91" t="s">
        <v>237</v>
      </c>
      <c r="D33" s="92" t="s">
        <v>401</v>
      </c>
      <c r="E33" s="92" t="s">
        <v>242</v>
      </c>
      <c r="F33" s="92" t="s">
        <v>399</v>
      </c>
    </row>
    <row r="34" spans="1:7" ht="26.25" customHeight="1" x14ac:dyDescent="0.2">
      <c r="A34" s="89">
        <f t="shared" si="0"/>
        <v>32</v>
      </c>
      <c r="B34" s="93" t="s">
        <v>402</v>
      </c>
      <c r="C34" s="91" t="s">
        <v>237</v>
      </c>
      <c r="D34" s="92" t="s">
        <v>403</v>
      </c>
      <c r="E34" s="92" t="s">
        <v>375</v>
      </c>
      <c r="F34" s="92" t="s">
        <v>394</v>
      </c>
    </row>
    <row r="35" spans="1:7" ht="26.25" customHeight="1" x14ac:dyDescent="0.2">
      <c r="A35" s="89">
        <f t="shared" si="0"/>
        <v>33</v>
      </c>
      <c r="B35" s="93" t="s">
        <v>404</v>
      </c>
      <c r="C35" s="91" t="s">
        <v>237</v>
      </c>
      <c r="D35" s="92" t="s">
        <v>405</v>
      </c>
      <c r="E35" s="92" t="s">
        <v>406</v>
      </c>
      <c r="F35" s="92" t="s">
        <v>399</v>
      </c>
    </row>
    <row r="36" spans="1:7" ht="26.25" customHeight="1" x14ac:dyDescent="0.2">
      <c r="A36" s="89">
        <f t="shared" si="0"/>
        <v>34</v>
      </c>
      <c r="B36" s="93" t="s">
        <v>407</v>
      </c>
      <c r="C36" s="91" t="s">
        <v>237</v>
      </c>
      <c r="D36" s="92" t="s">
        <v>408</v>
      </c>
      <c r="E36" s="92" t="s">
        <v>375</v>
      </c>
      <c r="F36" s="92" t="s">
        <v>394</v>
      </c>
    </row>
    <row r="37" spans="1:7" ht="26.25" customHeight="1" x14ac:dyDescent="0.2">
      <c r="A37" s="89">
        <f t="shared" si="0"/>
        <v>35</v>
      </c>
      <c r="B37" s="93" t="s">
        <v>409</v>
      </c>
      <c r="C37" s="91" t="s">
        <v>237</v>
      </c>
      <c r="D37" s="92" t="s">
        <v>410</v>
      </c>
      <c r="E37" s="92" t="s">
        <v>411</v>
      </c>
      <c r="F37" s="92" t="s">
        <v>412</v>
      </c>
    </row>
    <row r="38" spans="1:7" ht="26.25" customHeight="1" x14ac:dyDescent="0.2">
      <c r="A38" s="89">
        <f t="shared" si="0"/>
        <v>36</v>
      </c>
      <c r="B38" s="93" t="s">
        <v>413</v>
      </c>
      <c r="C38" s="91" t="s">
        <v>237</v>
      </c>
      <c r="D38" s="92" t="s">
        <v>414</v>
      </c>
      <c r="E38" s="92" t="s">
        <v>415</v>
      </c>
      <c r="F38" s="92" t="s">
        <v>416</v>
      </c>
    </row>
    <row r="39" spans="1:7" ht="26.25" customHeight="1" x14ac:dyDescent="0.2">
      <c r="A39" s="89">
        <f t="shared" si="0"/>
        <v>37</v>
      </c>
      <c r="B39" s="93" t="s">
        <v>417</v>
      </c>
      <c r="C39" s="91" t="s">
        <v>418</v>
      </c>
      <c r="D39" s="92"/>
      <c r="E39" s="92"/>
      <c r="F39" s="92"/>
    </row>
    <row r="40" spans="1:7" ht="38.25" customHeight="1" x14ac:dyDescent="0.2">
      <c r="A40" s="89">
        <f t="shared" si="0"/>
        <v>38</v>
      </c>
      <c r="B40" s="94" t="s">
        <v>419</v>
      </c>
      <c r="C40" s="91" t="s">
        <v>420</v>
      </c>
      <c r="D40" s="92" t="s">
        <v>421</v>
      </c>
      <c r="E40" s="92" t="s">
        <v>422</v>
      </c>
      <c r="F40" s="92" t="s">
        <v>423</v>
      </c>
      <c r="G40" s="12"/>
    </row>
    <row r="41" spans="1:7" ht="36.75" customHeight="1" x14ac:dyDescent="0.2">
      <c r="A41" s="89">
        <f t="shared" si="0"/>
        <v>39</v>
      </c>
      <c r="B41" s="94" t="s">
        <v>424</v>
      </c>
      <c r="C41" s="91" t="s">
        <v>420</v>
      </c>
      <c r="D41" s="92" t="s">
        <v>425</v>
      </c>
      <c r="E41" s="92" t="s">
        <v>426</v>
      </c>
      <c r="F41" s="92" t="s">
        <v>423</v>
      </c>
      <c r="G41" s="12"/>
    </row>
    <row r="42" spans="1:7" ht="39.75" customHeight="1" x14ac:dyDescent="0.2">
      <c r="A42" s="89">
        <f t="shared" si="0"/>
        <v>40</v>
      </c>
      <c r="B42" s="94" t="s">
        <v>427</v>
      </c>
      <c r="C42" s="91" t="s">
        <v>420</v>
      </c>
      <c r="D42" s="92" t="s">
        <v>428</v>
      </c>
      <c r="E42" s="92" t="s">
        <v>429</v>
      </c>
      <c r="F42" s="92" t="s">
        <v>423</v>
      </c>
      <c r="G42" s="12"/>
    </row>
    <row r="43" spans="1:7" ht="37.5" customHeight="1" x14ac:dyDescent="0.2">
      <c r="A43" s="89">
        <f t="shared" si="0"/>
        <v>41</v>
      </c>
      <c r="B43" s="94" t="s">
        <v>430</v>
      </c>
      <c r="C43" s="91" t="s">
        <v>420</v>
      </c>
      <c r="D43" s="92" t="s">
        <v>431</v>
      </c>
      <c r="E43" s="92" t="s">
        <v>422</v>
      </c>
      <c r="F43" s="92" t="s">
        <v>423</v>
      </c>
      <c r="G43" s="12"/>
    </row>
    <row r="44" spans="1:7" ht="37.5" customHeight="1" x14ac:dyDescent="0.2">
      <c r="A44" s="89">
        <f t="shared" si="0"/>
        <v>42</v>
      </c>
      <c r="B44" s="94" t="s">
        <v>432</v>
      </c>
      <c r="C44" s="91" t="s">
        <v>420</v>
      </c>
      <c r="D44" s="92" t="s">
        <v>433</v>
      </c>
      <c r="E44" s="92" t="s">
        <v>434</v>
      </c>
      <c r="F44" s="92" t="s">
        <v>423</v>
      </c>
      <c r="G44" s="12"/>
    </row>
    <row r="45" spans="1:7" ht="33" customHeight="1" x14ac:dyDescent="0.2">
      <c r="A45" s="89">
        <f t="shared" si="0"/>
        <v>43</v>
      </c>
      <c r="B45" s="94" t="s">
        <v>435</v>
      </c>
      <c r="C45" s="91" t="s">
        <v>420</v>
      </c>
      <c r="D45" s="92" t="s">
        <v>436</v>
      </c>
      <c r="E45" s="92" t="s">
        <v>437</v>
      </c>
      <c r="F45" s="92" t="s">
        <v>380</v>
      </c>
      <c r="G45" s="12"/>
    </row>
    <row r="46" spans="1:7" ht="33" customHeight="1" x14ac:dyDescent="0.2">
      <c r="A46" s="89">
        <f t="shared" si="0"/>
        <v>44</v>
      </c>
      <c r="B46" s="94" t="s">
        <v>438</v>
      </c>
      <c r="C46" s="91" t="s">
        <v>420</v>
      </c>
      <c r="D46" s="92" t="s">
        <v>439</v>
      </c>
      <c r="E46" s="92" t="s">
        <v>440</v>
      </c>
      <c r="F46" s="92" t="s">
        <v>423</v>
      </c>
      <c r="G46" s="12"/>
    </row>
    <row r="47" spans="1:7" ht="33" customHeight="1" x14ac:dyDescent="0.2">
      <c r="A47" s="89">
        <f t="shared" si="0"/>
        <v>45</v>
      </c>
      <c r="B47" s="94" t="s">
        <v>441</v>
      </c>
      <c r="C47" s="91" t="s">
        <v>442</v>
      </c>
      <c r="D47" s="92"/>
      <c r="E47" s="92"/>
      <c r="F47" s="92"/>
      <c r="G47" s="12"/>
    </row>
    <row r="48" spans="1:7" ht="50.25" customHeight="1" x14ac:dyDescent="0.2">
      <c r="A48" s="89">
        <f t="shared" si="0"/>
        <v>46</v>
      </c>
      <c r="B48" s="95" t="s">
        <v>443</v>
      </c>
      <c r="C48" s="91" t="s">
        <v>76</v>
      </c>
      <c r="D48" s="92" t="s">
        <v>444</v>
      </c>
      <c r="E48" s="92" t="s">
        <v>445</v>
      </c>
      <c r="F48" s="92" t="s">
        <v>446</v>
      </c>
    </row>
    <row r="49" spans="1:6" ht="71.25" customHeight="1" x14ac:dyDescent="0.2">
      <c r="A49" s="89">
        <f t="shared" si="0"/>
        <v>47</v>
      </c>
      <c r="B49" s="95" t="s">
        <v>447</v>
      </c>
      <c r="C49" s="91" t="s">
        <v>76</v>
      </c>
      <c r="D49" s="92" t="s">
        <v>448</v>
      </c>
      <c r="E49" s="92" t="s">
        <v>449</v>
      </c>
      <c r="F49" s="92" t="s">
        <v>450</v>
      </c>
    </row>
    <row r="50" spans="1:6" ht="12.75" customHeight="1" x14ac:dyDescent="0.2">
      <c r="A50" s="89">
        <f t="shared" si="0"/>
        <v>48</v>
      </c>
      <c r="B50" s="95" t="s">
        <v>451</v>
      </c>
      <c r="C50" s="91" t="s">
        <v>76</v>
      </c>
      <c r="D50" s="92" t="s">
        <v>452</v>
      </c>
      <c r="E50" s="92" t="s">
        <v>453</v>
      </c>
      <c r="F50" s="92" t="s">
        <v>454</v>
      </c>
    </row>
    <row r="51" spans="1:6" ht="12.75" customHeight="1" x14ac:dyDescent="0.2">
      <c r="A51" s="89">
        <f t="shared" si="0"/>
        <v>49</v>
      </c>
      <c r="B51" s="95" t="s">
        <v>455</v>
      </c>
      <c r="C51" s="91" t="s">
        <v>76</v>
      </c>
      <c r="D51" s="92" t="s">
        <v>456</v>
      </c>
      <c r="E51" s="92" t="s">
        <v>457</v>
      </c>
      <c r="F51" s="92" t="s">
        <v>458</v>
      </c>
    </row>
    <row r="52" spans="1:6" ht="56.25" customHeight="1" x14ac:dyDescent="0.2">
      <c r="A52" s="89">
        <f t="shared" si="0"/>
        <v>50</v>
      </c>
      <c r="B52" s="95" t="s">
        <v>459</v>
      </c>
      <c r="C52" s="91" t="s">
        <v>76</v>
      </c>
      <c r="D52" s="92" t="s">
        <v>460</v>
      </c>
      <c r="E52" s="92" t="s">
        <v>461</v>
      </c>
      <c r="F52" s="92" t="s">
        <v>462</v>
      </c>
    </row>
    <row r="53" spans="1:6" ht="43.5" customHeight="1" x14ac:dyDescent="0.2">
      <c r="A53" s="89">
        <f t="shared" si="0"/>
        <v>51</v>
      </c>
      <c r="B53" s="95" t="s">
        <v>463</v>
      </c>
      <c r="C53" s="91" t="s">
        <v>76</v>
      </c>
      <c r="D53" s="92" t="s">
        <v>464</v>
      </c>
      <c r="E53" s="92" t="s">
        <v>461</v>
      </c>
      <c r="F53" s="92" t="s">
        <v>465</v>
      </c>
    </row>
    <row r="54" spans="1:6" ht="51.75" customHeight="1" x14ac:dyDescent="0.2">
      <c r="A54" s="89">
        <f t="shared" si="0"/>
        <v>52</v>
      </c>
      <c r="B54" s="95" t="s">
        <v>466</v>
      </c>
      <c r="C54" s="91" t="s">
        <v>76</v>
      </c>
      <c r="D54" s="92" t="s">
        <v>467</v>
      </c>
      <c r="E54" s="92" t="s">
        <v>468</v>
      </c>
      <c r="F54" s="92" t="s">
        <v>469</v>
      </c>
    </row>
    <row r="55" spans="1:6" ht="51" customHeight="1" x14ac:dyDescent="0.2">
      <c r="A55" s="89">
        <f t="shared" si="0"/>
        <v>53</v>
      </c>
      <c r="B55" s="95" t="s">
        <v>470</v>
      </c>
      <c r="C55" s="91" t="s">
        <v>76</v>
      </c>
      <c r="D55" s="92" t="s">
        <v>238</v>
      </c>
      <c r="E55" s="92" t="s">
        <v>471</v>
      </c>
      <c r="F55" s="92" t="s">
        <v>469</v>
      </c>
    </row>
    <row r="56" spans="1:6" ht="38.25" customHeight="1" x14ac:dyDescent="0.2">
      <c r="A56" s="89">
        <f t="shared" si="0"/>
        <v>54</v>
      </c>
      <c r="B56" s="95" t="s">
        <v>472</v>
      </c>
      <c r="C56" s="91" t="s">
        <v>76</v>
      </c>
      <c r="D56" s="92" t="s">
        <v>473</v>
      </c>
      <c r="E56" s="92" t="s">
        <v>474</v>
      </c>
      <c r="F56" s="92" t="s">
        <v>475</v>
      </c>
    </row>
    <row r="57" spans="1:6" ht="43.5" customHeight="1" x14ac:dyDescent="0.2">
      <c r="A57" s="89">
        <f t="shared" si="0"/>
        <v>55</v>
      </c>
      <c r="B57" s="95" t="s">
        <v>476</v>
      </c>
      <c r="C57" s="91" t="s">
        <v>76</v>
      </c>
      <c r="D57" s="92" t="s">
        <v>477</v>
      </c>
      <c r="E57" s="92" t="s">
        <v>478</v>
      </c>
      <c r="F57" s="92" t="s">
        <v>479</v>
      </c>
    </row>
    <row r="58" spans="1:6" ht="54.75" customHeight="1" x14ac:dyDescent="0.2">
      <c r="A58" s="89">
        <f t="shared" si="0"/>
        <v>56</v>
      </c>
      <c r="B58" s="95" t="s">
        <v>480</v>
      </c>
      <c r="C58" s="91" t="s">
        <v>76</v>
      </c>
      <c r="D58" s="92" t="s">
        <v>481</v>
      </c>
      <c r="E58" s="92" t="s">
        <v>482</v>
      </c>
      <c r="F58" s="92" t="s">
        <v>483</v>
      </c>
    </row>
    <row r="59" spans="1:6" ht="31.5" customHeight="1" x14ac:dyDescent="0.2">
      <c r="A59" s="89">
        <f t="shared" si="0"/>
        <v>57</v>
      </c>
      <c r="B59" s="95" t="s">
        <v>484</v>
      </c>
      <c r="C59" s="91" t="s">
        <v>76</v>
      </c>
      <c r="D59" s="92" t="s">
        <v>485</v>
      </c>
      <c r="E59" s="92" t="s">
        <v>486</v>
      </c>
      <c r="F59" s="92" t="s">
        <v>487</v>
      </c>
    </row>
    <row r="60" spans="1:6" ht="31.5" customHeight="1" x14ac:dyDescent="0.2">
      <c r="A60" s="89">
        <f t="shared" si="0"/>
        <v>58</v>
      </c>
      <c r="B60" s="95" t="s">
        <v>488</v>
      </c>
      <c r="C60" s="91" t="s">
        <v>489</v>
      </c>
      <c r="D60" s="92"/>
      <c r="E60" s="92"/>
      <c r="F60" s="92"/>
    </row>
    <row r="61" spans="1:6" ht="38.25" customHeight="1" x14ac:dyDescent="0.2">
      <c r="A61" s="89">
        <f t="shared" si="0"/>
        <v>59</v>
      </c>
      <c r="B61" s="96" t="s">
        <v>490</v>
      </c>
      <c r="C61" s="91" t="s">
        <v>212</v>
      </c>
      <c r="D61" s="92" t="s">
        <v>491</v>
      </c>
      <c r="E61" s="92" t="s">
        <v>492</v>
      </c>
      <c r="F61" s="92" t="s">
        <v>493</v>
      </c>
    </row>
    <row r="62" spans="1:6" ht="36" customHeight="1" x14ac:dyDescent="0.2">
      <c r="A62" s="89">
        <f t="shared" si="0"/>
        <v>60</v>
      </c>
      <c r="B62" s="96" t="s">
        <v>494</v>
      </c>
      <c r="C62" s="91" t="s">
        <v>212</v>
      </c>
      <c r="D62" s="92" t="s">
        <v>491</v>
      </c>
      <c r="E62" s="92" t="s">
        <v>495</v>
      </c>
      <c r="F62" s="92" t="s">
        <v>496</v>
      </c>
    </row>
    <row r="63" spans="1:6" ht="62.25" customHeight="1" x14ac:dyDescent="0.2">
      <c r="A63" s="89">
        <f t="shared" si="0"/>
        <v>61</v>
      </c>
      <c r="B63" s="96" t="s">
        <v>497</v>
      </c>
      <c r="C63" s="91" t="s">
        <v>212</v>
      </c>
      <c r="D63" s="92" t="s">
        <v>491</v>
      </c>
      <c r="E63" s="92" t="s">
        <v>498</v>
      </c>
      <c r="F63" s="92" t="s">
        <v>499</v>
      </c>
    </row>
    <row r="64" spans="1:6" ht="33.75" customHeight="1" x14ac:dyDescent="0.2">
      <c r="A64" s="89">
        <f t="shared" si="0"/>
        <v>62</v>
      </c>
      <c r="B64" s="96" t="s">
        <v>500</v>
      </c>
      <c r="C64" s="91" t="s">
        <v>212</v>
      </c>
      <c r="D64" s="92" t="s">
        <v>491</v>
      </c>
      <c r="E64" s="92" t="s">
        <v>501</v>
      </c>
      <c r="F64" s="92" t="s">
        <v>502</v>
      </c>
    </row>
    <row r="65" spans="1:6" ht="39" customHeight="1" x14ac:dyDescent="0.2">
      <c r="A65" s="89">
        <f t="shared" si="0"/>
        <v>63</v>
      </c>
      <c r="B65" s="96" t="s">
        <v>503</v>
      </c>
      <c r="C65" s="91" t="s">
        <v>212</v>
      </c>
      <c r="D65" s="92" t="s">
        <v>77</v>
      </c>
      <c r="E65" s="92" t="s">
        <v>78</v>
      </c>
      <c r="F65" s="92" t="s">
        <v>79</v>
      </c>
    </row>
    <row r="66" spans="1:6" ht="39" customHeight="1" x14ac:dyDescent="0.2">
      <c r="A66" s="89">
        <f t="shared" si="0"/>
        <v>64</v>
      </c>
      <c r="B66" s="96" t="s">
        <v>504</v>
      </c>
      <c r="C66" s="91"/>
      <c r="D66" s="92"/>
      <c r="E66" s="92"/>
      <c r="F66" s="92"/>
    </row>
    <row r="67" spans="1:6" ht="27" customHeight="1" x14ac:dyDescent="0.2">
      <c r="A67" s="89">
        <f t="shared" si="0"/>
        <v>65</v>
      </c>
      <c r="B67" s="97" t="s">
        <v>505</v>
      </c>
      <c r="C67" s="91" t="s">
        <v>506</v>
      </c>
      <c r="D67" s="92" t="s">
        <v>507</v>
      </c>
      <c r="E67" s="92" t="s">
        <v>508</v>
      </c>
      <c r="F67" s="92" t="s">
        <v>509</v>
      </c>
    </row>
    <row r="68" spans="1:6" ht="27" customHeight="1" x14ac:dyDescent="0.2">
      <c r="A68" s="89">
        <f t="shared" si="0"/>
        <v>66</v>
      </c>
      <c r="B68" s="97" t="s">
        <v>510</v>
      </c>
      <c r="C68" s="91" t="s">
        <v>506</v>
      </c>
      <c r="D68" s="92" t="s">
        <v>511</v>
      </c>
      <c r="E68" s="92" t="s">
        <v>512</v>
      </c>
      <c r="F68" s="92" t="s">
        <v>513</v>
      </c>
    </row>
    <row r="69" spans="1:6" ht="59.25" customHeight="1" x14ac:dyDescent="0.2">
      <c r="A69" s="89">
        <f t="shared" si="0"/>
        <v>67</v>
      </c>
      <c r="B69" s="97" t="s">
        <v>514</v>
      </c>
      <c r="C69" s="91" t="s">
        <v>506</v>
      </c>
      <c r="D69" s="92" t="s">
        <v>515</v>
      </c>
      <c r="E69" s="92" t="s">
        <v>516</v>
      </c>
      <c r="F69" s="92" t="s">
        <v>517</v>
      </c>
    </row>
    <row r="70" spans="1:6" ht="57.75" customHeight="1" x14ac:dyDescent="0.2">
      <c r="A70" s="89">
        <f t="shared" si="0"/>
        <v>68</v>
      </c>
      <c r="B70" s="98" t="s">
        <v>518</v>
      </c>
      <c r="C70" s="91" t="s">
        <v>64</v>
      </c>
      <c r="D70" s="92" t="s">
        <v>143</v>
      </c>
      <c r="E70" s="92" t="s">
        <v>144</v>
      </c>
      <c r="F70" s="92" t="s">
        <v>145</v>
      </c>
    </row>
    <row r="71" spans="1:6" ht="44.25" customHeight="1" x14ac:dyDescent="0.2">
      <c r="A71" s="89">
        <f t="shared" si="0"/>
        <v>69</v>
      </c>
      <c r="B71" s="98" t="s">
        <v>519</v>
      </c>
      <c r="C71" s="91" t="s">
        <v>64</v>
      </c>
      <c r="D71" s="92" t="s">
        <v>520</v>
      </c>
      <c r="E71" s="92" t="s">
        <v>521</v>
      </c>
      <c r="F71" s="92" t="s">
        <v>67</v>
      </c>
    </row>
    <row r="72" spans="1:6" ht="38.25" customHeight="1" x14ac:dyDescent="0.2">
      <c r="A72" s="89">
        <f t="shared" si="0"/>
        <v>70</v>
      </c>
      <c r="B72" s="98" t="s">
        <v>522</v>
      </c>
      <c r="C72" s="91" t="s">
        <v>64</v>
      </c>
      <c r="D72" s="92" t="s">
        <v>235</v>
      </c>
      <c r="E72" s="92" t="s">
        <v>523</v>
      </c>
      <c r="F72" s="92" t="s">
        <v>67</v>
      </c>
    </row>
    <row r="73" spans="1:6" ht="57" customHeight="1" x14ac:dyDescent="0.2">
      <c r="A73" s="89">
        <f t="shared" si="0"/>
        <v>71</v>
      </c>
      <c r="B73" s="98" t="s">
        <v>524</v>
      </c>
      <c r="C73" s="91" t="s">
        <v>64</v>
      </c>
      <c r="D73" s="99" t="s">
        <v>65</v>
      </c>
      <c r="E73" s="99" t="s">
        <v>66</v>
      </c>
      <c r="F73" s="99" t="s">
        <v>67</v>
      </c>
    </row>
    <row r="74" spans="1:6" ht="47.25" customHeight="1" x14ac:dyDescent="0.2">
      <c r="A74" s="89">
        <f t="shared" si="0"/>
        <v>72</v>
      </c>
      <c r="B74" s="98" t="s">
        <v>525</v>
      </c>
      <c r="C74" s="91" t="s">
        <v>64</v>
      </c>
      <c r="D74" s="92" t="s">
        <v>526</v>
      </c>
      <c r="E74" s="92" t="s">
        <v>527</v>
      </c>
      <c r="F74" s="92" t="s">
        <v>528</v>
      </c>
    </row>
    <row r="75" spans="1:6" ht="47.25" customHeight="1" x14ac:dyDescent="0.2">
      <c r="A75" s="89">
        <f t="shared" si="0"/>
        <v>73</v>
      </c>
      <c r="B75" s="98" t="s">
        <v>529</v>
      </c>
      <c r="C75" s="91" t="s">
        <v>64</v>
      </c>
      <c r="D75" s="92" t="s">
        <v>530</v>
      </c>
      <c r="E75" s="92" t="s">
        <v>531</v>
      </c>
      <c r="F75" s="92" t="s">
        <v>532</v>
      </c>
    </row>
    <row r="76" spans="1:6" ht="47.25" customHeight="1" x14ac:dyDescent="0.2">
      <c r="A76" s="89">
        <f t="shared" si="0"/>
        <v>74</v>
      </c>
      <c r="B76" s="98" t="s">
        <v>533</v>
      </c>
      <c r="C76" s="91" t="s">
        <v>64</v>
      </c>
      <c r="D76" s="92" t="s">
        <v>534</v>
      </c>
      <c r="E76" s="92" t="s">
        <v>535</v>
      </c>
      <c r="F76" s="92" t="s">
        <v>536</v>
      </c>
    </row>
    <row r="77" spans="1:6" ht="44.25" customHeight="1" x14ac:dyDescent="0.2">
      <c r="A77" s="89">
        <f t="shared" si="0"/>
        <v>75</v>
      </c>
      <c r="B77" s="98" t="s">
        <v>537</v>
      </c>
      <c r="C77" s="91" t="s">
        <v>64</v>
      </c>
      <c r="D77" s="92" t="s">
        <v>538</v>
      </c>
      <c r="E77" s="92" t="s">
        <v>539</v>
      </c>
      <c r="F77" s="92" t="s">
        <v>540</v>
      </c>
    </row>
    <row r="78" spans="1:6" ht="54.75" customHeight="1" x14ac:dyDescent="0.2">
      <c r="A78" s="89">
        <f t="shared" si="0"/>
        <v>76</v>
      </c>
      <c r="B78" s="100" t="s">
        <v>541</v>
      </c>
      <c r="C78" s="91" t="s">
        <v>542</v>
      </c>
      <c r="D78" s="92" t="s">
        <v>543</v>
      </c>
      <c r="E78" s="92" t="s">
        <v>544</v>
      </c>
      <c r="F78" s="92" t="s">
        <v>545</v>
      </c>
    </row>
    <row r="79" spans="1:6" ht="12.75" customHeight="1" x14ac:dyDescent="0.2">
      <c r="A79" s="89">
        <f t="shared" si="0"/>
        <v>77</v>
      </c>
      <c r="B79" s="100" t="s">
        <v>546</v>
      </c>
      <c r="C79" s="91" t="s">
        <v>542</v>
      </c>
      <c r="D79" s="92" t="s">
        <v>547</v>
      </c>
      <c r="E79" s="92" t="s">
        <v>548</v>
      </c>
      <c r="F79" s="92" t="s">
        <v>549</v>
      </c>
    </row>
    <row r="80" spans="1:6" ht="21.75" customHeight="1" x14ac:dyDescent="0.2">
      <c r="A80" s="89">
        <f t="shared" si="0"/>
        <v>78</v>
      </c>
      <c r="B80" s="100" t="s">
        <v>550</v>
      </c>
      <c r="C80" s="91" t="s">
        <v>542</v>
      </c>
      <c r="D80" s="92" t="s">
        <v>551</v>
      </c>
      <c r="E80" s="92" t="s">
        <v>552</v>
      </c>
      <c r="F80" s="92" t="s">
        <v>553</v>
      </c>
    </row>
    <row r="81" spans="1:6" ht="27" customHeight="1" x14ac:dyDescent="0.2">
      <c r="A81" s="89">
        <f t="shared" si="0"/>
        <v>79</v>
      </c>
      <c r="B81" s="100" t="s">
        <v>554</v>
      </c>
      <c r="C81" s="91" t="s">
        <v>555</v>
      </c>
      <c r="D81" s="92" t="s">
        <v>556</v>
      </c>
      <c r="E81" s="92" t="s">
        <v>557</v>
      </c>
      <c r="F81" s="92" t="s">
        <v>319</v>
      </c>
    </row>
    <row r="82" spans="1:6" ht="27" customHeight="1" x14ac:dyDescent="0.2">
      <c r="A82" s="89">
        <f t="shared" si="0"/>
        <v>80</v>
      </c>
      <c r="B82" s="100" t="s">
        <v>558</v>
      </c>
      <c r="C82" s="91" t="s">
        <v>555</v>
      </c>
      <c r="D82" s="92" t="s">
        <v>559</v>
      </c>
      <c r="E82" s="92" t="s">
        <v>560</v>
      </c>
      <c r="F82" s="92" t="s">
        <v>561</v>
      </c>
    </row>
    <row r="83" spans="1:6" ht="27" customHeight="1" x14ac:dyDescent="0.2">
      <c r="A83" s="89">
        <f t="shared" si="0"/>
        <v>81</v>
      </c>
      <c r="B83" s="100" t="s">
        <v>562</v>
      </c>
      <c r="C83" s="91" t="s">
        <v>555</v>
      </c>
      <c r="D83" s="92" t="s">
        <v>563</v>
      </c>
      <c r="E83" s="92" t="s">
        <v>564</v>
      </c>
      <c r="F83" s="92" t="s">
        <v>565</v>
      </c>
    </row>
    <row r="84" spans="1:6" ht="12.75" customHeight="1" x14ac:dyDescent="0.2">
      <c r="D84" s="101"/>
      <c r="E84" s="101"/>
    </row>
    <row r="85" spans="1:6" ht="12.75" customHeight="1" x14ac:dyDescent="0.2">
      <c r="D85" s="101"/>
      <c r="E85" s="101"/>
    </row>
    <row r="86" spans="1:6" ht="12.75" customHeight="1" x14ac:dyDescent="0.2">
      <c r="D86" s="101"/>
      <c r="E86" s="101"/>
    </row>
    <row r="87" spans="1:6" ht="12.75" customHeight="1" x14ac:dyDescent="0.2">
      <c r="D87" s="101"/>
      <c r="E87" s="101"/>
    </row>
    <row r="88" spans="1:6" ht="12.75" customHeight="1" x14ac:dyDescent="0.2">
      <c r="D88" s="101"/>
      <c r="E88" s="101"/>
    </row>
    <row r="89" spans="1:6" ht="12.75" customHeight="1" x14ac:dyDescent="0.2">
      <c r="D89" s="101"/>
      <c r="E89" s="101"/>
    </row>
    <row r="90" spans="1:6" ht="12.75" customHeight="1" x14ac:dyDescent="0.2">
      <c r="D90" s="101"/>
      <c r="E90" s="101"/>
    </row>
    <row r="91" spans="1:6" ht="12.75" customHeight="1" x14ac:dyDescent="0.2">
      <c r="D91" s="101"/>
      <c r="E91" s="101"/>
    </row>
    <row r="92" spans="1:6" ht="12.75" customHeight="1" x14ac:dyDescent="0.2">
      <c r="D92" s="101"/>
      <c r="E92" s="101"/>
    </row>
    <row r="93" spans="1:6" ht="12.75" customHeight="1" x14ac:dyDescent="0.2">
      <c r="D93" s="101"/>
      <c r="E93" s="101"/>
    </row>
    <row r="94" spans="1:6" ht="12.75" customHeight="1" x14ac:dyDescent="0.2">
      <c r="D94" s="101"/>
      <c r="E94" s="101"/>
    </row>
    <row r="95" spans="1:6" ht="12.75" customHeight="1" x14ac:dyDescent="0.2">
      <c r="D95" s="101"/>
      <c r="E95" s="101"/>
    </row>
    <row r="96" spans="1:6" ht="12.75" customHeight="1" x14ac:dyDescent="0.2">
      <c r="D96" s="101"/>
      <c r="E96" s="101"/>
    </row>
    <row r="97" spans="4:5" ht="12.75" customHeight="1" x14ac:dyDescent="0.2">
      <c r="D97" s="101"/>
      <c r="E97" s="101"/>
    </row>
    <row r="98" spans="4:5" ht="12.75" customHeight="1" x14ac:dyDescent="0.2">
      <c r="D98" s="101"/>
      <c r="E98" s="101"/>
    </row>
    <row r="99" spans="4:5" ht="12.75" customHeight="1" x14ac:dyDescent="0.2">
      <c r="D99" s="101"/>
      <c r="E99" s="101"/>
    </row>
    <row r="100" spans="4:5" ht="12.75" customHeight="1" x14ac:dyDescent="0.2">
      <c r="D100" s="101"/>
      <c r="E100" s="101"/>
    </row>
    <row r="101" spans="4:5" ht="12.75" customHeight="1" x14ac:dyDescent="0.2">
      <c r="D101" s="101"/>
      <c r="E101" s="101"/>
    </row>
    <row r="102" spans="4:5" ht="12.75" customHeight="1" x14ac:dyDescent="0.2">
      <c r="D102" s="101"/>
      <c r="E102" s="101"/>
    </row>
    <row r="103" spans="4:5" ht="12.75" customHeight="1" x14ac:dyDescent="0.2">
      <c r="D103" s="101"/>
      <c r="E103" s="101"/>
    </row>
    <row r="104" spans="4:5" ht="12.75" customHeight="1" x14ac:dyDescent="0.2">
      <c r="D104" s="101"/>
      <c r="E104" s="101"/>
    </row>
    <row r="105" spans="4:5" ht="12.75" customHeight="1" x14ac:dyDescent="0.2">
      <c r="D105" s="101"/>
      <c r="E105" s="101"/>
    </row>
    <row r="106" spans="4:5" ht="12.75" customHeight="1" x14ac:dyDescent="0.2">
      <c r="D106" s="101"/>
      <c r="E106" s="101"/>
    </row>
    <row r="107" spans="4:5" ht="12.75" customHeight="1" x14ac:dyDescent="0.2">
      <c r="D107" s="101"/>
      <c r="E107" s="101"/>
    </row>
    <row r="108" spans="4:5" ht="12.75" customHeight="1" x14ac:dyDescent="0.2">
      <c r="D108" s="101"/>
      <c r="E108" s="101"/>
    </row>
    <row r="109" spans="4:5" ht="12.75" customHeight="1" x14ac:dyDescent="0.2">
      <c r="D109" s="101"/>
      <c r="E109" s="101"/>
    </row>
    <row r="110" spans="4:5" ht="12.75" customHeight="1" x14ac:dyDescent="0.2">
      <c r="D110" s="101"/>
      <c r="E110" s="101"/>
    </row>
    <row r="111" spans="4:5" ht="12.75" customHeight="1" x14ac:dyDescent="0.2">
      <c r="D111" s="101"/>
      <c r="E111" s="101"/>
    </row>
    <row r="112" spans="4:5" ht="12.75" customHeight="1" x14ac:dyDescent="0.2">
      <c r="D112" s="101"/>
      <c r="E112" s="101"/>
    </row>
    <row r="113" spans="4:5" ht="12.75" customHeight="1" x14ac:dyDescent="0.2">
      <c r="D113" s="101"/>
      <c r="E113" s="101"/>
    </row>
    <row r="114" spans="4:5" ht="12.75" customHeight="1" x14ac:dyDescent="0.2">
      <c r="D114" s="101"/>
      <c r="E114" s="101"/>
    </row>
    <row r="115" spans="4:5" ht="12.75" customHeight="1" x14ac:dyDescent="0.2">
      <c r="D115" s="101"/>
      <c r="E115" s="101"/>
    </row>
    <row r="116" spans="4:5" ht="12.75" customHeight="1" x14ac:dyDescent="0.2">
      <c r="D116" s="101"/>
      <c r="E116" s="101"/>
    </row>
    <row r="117" spans="4:5" ht="12.75" customHeight="1" x14ac:dyDescent="0.2">
      <c r="D117" s="101"/>
      <c r="E117" s="101"/>
    </row>
    <row r="118" spans="4:5" ht="12.75" customHeight="1" x14ac:dyDescent="0.2">
      <c r="D118" s="101"/>
      <c r="E118" s="101"/>
    </row>
    <row r="119" spans="4:5" ht="12.75" customHeight="1" x14ac:dyDescent="0.2">
      <c r="D119" s="101"/>
      <c r="E119" s="101"/>
    </row>
    <row r="120" spans="4:5" ht="12.75" customHeight="1" x14ac:dyDescent="0.2">
      <c r="D120" s="101"/>
      <c r="E120" s="101"/>
    </row>
    <row r="121" spans="4:5" ht="12.75" customHeight="1" x14ac:dyDescent="0.2">
      <c r="D121" s="101"/>
      <c r="E121" s="101"/>
    </row>
    <row r="122" spans="4:5" ht="12.75" customHeight="1" x14ac:dyDescent="0.2">
      <c r="D122" s="101"/>
      <c r="E122" s="101"/>
    </row>
    <row r="123" spans="4:5" ht="12.75" customHeight="1" x14ac:dyDescent="0.2">
      <c r="D123" s="101"/>
      <c r="E123" s="101"/>
    </row>
    <row r="124" spans="4:5" ht="12.75" customHeight="1" x14ac:dyDescent="0.2">
      <c r="D124" s="101"/>
      <c r="E124" s="101"/>
    </row>
    <row r="125" spans="4:5" ht="12.75" customHeight="1" x14ac:dyDescent="0.2">
      <c r="D125" s="101"/>
      <c r="E125" s="101"/>
    </row>
    <row r="126" spans="4:5" ht="12.75" customHeight="1" x14ac:dyDescent="0.2">
      <c r="D126" s="101"/>
      <c r="E126" s="101"/>
    </row>
    <row r="127" spans="4:5" ht="12.75" customHeight="1" x14ac:dyDescent="0.2">
      <c r="D127" s="101"/>
      <c r="E127" s="101"/>
    </row>
    <row r="128" spans="4:5" ht="12.75" customHeight="1" x14ac:dyDescent="0.2">
      <c r="D128" s="101"/>
      <c r="E128" s="101"/>
    </row>
    <row r="129" spans="4:5" ht="12.75" customHeight="1" x14ac:dyDescent="0.2">
      <c r="D129" s="101"/>
      <c r="E129" s="101"/>
    </row>
    <row r="130" spans="4:5" ht="12.75" customHeight="1" x14ac:dyDescent="0.2">
      <c r="D130" s="101"/>
      <c r="E130" s="101"/>
    </row>
    <row r="131" spans="4:5" ht="12.75" customHeight="1" x14ac:dyDescent="0.2">
      <c r="D131" s="101"/>
      <c r="E131" s="101"/>
    </row>
    <row r="132" spans="4:5" ht="12.75" customHeight="1" x14ac:dyDescent="0.2">
      <c r="D132" s="101"/>
      <c r="E132" s="101"/>
    </row>
    <row r="133" spans="4:5" ht="12.75" customHeight="1" x14ac:dyDescent="0.2">
      <c r="D133" s="101"/>
      <c r="E133" s="101"/>
    </row>
    <row r="134" spans="4:5" ht="12.75" customHeight="1" x14ac:dyDescent="0.2">
      <c r="D134" s="101"/>
      <c r="E134" s="101"/>
    </row>
    <row r="135" spans="4:5" ht="12.75" customHeight="1" x14ac:dyDescent="0.2">
      <c r="D135" s="101"/>
      <c r="E135" s="101"/>
    </row>
    <row r="136" spans="4:5" ht="12.75" customHeight="1" x14ac:dyDescent="0.2">
      <c r="D136" s="101"/>
      <c r="E136" s="101"/>
    </row>
    <row r="137" spans="4:5" ht="12.75" customHeight="1" x14ac:dyDescent="0.2">
      <c r="D137" s="101"/>
      <c r="E137" s="101"/>
    </row>
    <row r="138" spans="4:5" ht="12.75" customHeight="1" x14ac:dyDescent="0.2">
      <c r="D138" s="101"/>
      <c r="E138" s="101"/>
    </row>
    <row r="139" spans="4:5" ht="12.75" customHeight="1" x14ac:dyDescent="0.2">
      <c r="D139" s="101"/>
      <c r="E139" s="101"/>
    </row>
    <row r="140" spans="4:5" ht="12.75" customHeight="1" x14ac:dyDescent="0.2">
      <c r="D140" s="101"/>
      <c r="E140" s="101"/>
    </row>
    <row r="141" spans="4:5" ht="12.75" customHeight="1" x14ac:dyDescent="0.2">
      <c r="D141" s="101"/>
      <c r="E141" s="101"/>
    </row>
    <row r="142" spans="4:5" ht="12.75" customHeight="1" x14ac:dyDescent="0.2">
      <c r="D142" s="101"/>
      <c r="E142" s="101"/>
    </row>
    <row r="143" spans="4:5" ht="12.75" customHeight="1" x14ac:dyDescent="0.2">
      <c r="D143" s="101"/>
      <c r="E143" s="101"/>
    </row>
    <row r="144" spans="4:5" ht="12.75" customHeight="1" x14ac:dyDescent="0.2">
      <c r="D144" s="101"/>
      <c r="E144" s="101"/>
    </row>
    <row r="145" spans="4:5" ht="12.75" customHeight="1" x14ac:dyDescent="0.2">
      <c r="D145" s="101"/>
      <c r="E145" s="101"/>
    </row>
    <row r="146" spans="4:5" ht="12.75" customHeight="1" x14ac:dyDescent="0.2">
      <c r="D146" s="101"/>
      <c r="E146" s="101"/>
    </row>
    <row r="147" spans="4:5" ht="12.75" customHeight="1" x14ac:dyDescent="0.2">
      <c r="D147" s="101"/>
      <c r="E147" s="101"/>
    </row>
    <row r="148" spans="4:5" ht="12.75" customHeight="1" x14ac:dyDescent="0.2">
      <c r="D148" s="101"/>
      <c r="E148" s="101"/>
    </row>
    <row r="149" spans="4:5" ht="12.75" customHeight="1" x14ac:dyDescent="0.2">
      <c r="D149" s="101"/>
      <c r="E149" s="101"/>
    </row>
    <row r="150" spans="4:5" ht="12.75" customHeight="1" x14ac:dyDescent="0.2">
      <c r="D150" s="101"/>
      <c r="E150" s="101"/>
    </row>
    <row r="151" spans="4:5" ht="12.75" customHeight="1" x14ac:dyDescent="0.2">
      <c r="D151" s="101"/>
      <c r="E151" s="101"/>
    </row>
    <row r="152" spans="4:5" ht="12.75" customHeight="1" x14ac:dyDescent="0.2">
      <c r="D152" s="101"/>
      <c r="E152" s="101"/>
    </row>
    <row r="153" spans="4:5" ht="12.75" customHeight="1" x14ac:dyDescent="0.2">
      <c r="D153" s="101"/>
      <c r="E153" s="101"/>
    </row>
    <row r="154" spans="4:5" ht="12.75" customHeight="1" x14ac:dyDescent="0.2">
      <c r="D154" s="101"/>
      <c r="E154" s="101"/>
    </row>
    <row r="155" spans="4:5" ht="12.75" customHeight="1" x14ac:dyDescent="0.2">
      <c r="D155" s="101"/>
      <c r="E155" s="101"/>
    </row>
    <row r="156" spans="4:5" ht="12.75" customHeight="1" x14ac:dyDescent="0.2">
      <c r="D156" s="101"/>
      <c r="E156" s="101"/>
    </row>
    <row r="157" spans="4:5" ht="12.75" customHeight="1" x14ac:dyDescent="0.2">
      <c r="D157" s="101"/>
      <c r="E157" s="101"/>
    </row>
    <row r="158" spans="4:5" ht="12.75" customHeight="1" x14ac:dyDescent="0.2">
      <c r="D158" s="101"/>
      <c r="E158" s="101"/>
    </row>
    <row r="159" spans="4:5" ht="12.75" customHeight="1" x14ac:dyDescent="0.2">
      <c r="D159" s="101"/>
      <c r="E159" s="101"/>
    </row>
    <row r="160" spans="4:5" ht="12.75" customHeight="1" x14ac:dyDescent="0.2">
      <c r="D160" s="101"/>
      <c r="E160" s="101"/>
    </row>
    <row r="161" spans="4:5" ht="12.75" customHeight="1" x14ac:dyDescent="0.2">
      <c r="D161" s="101"/>
      <c r="E161" s="101"/>
    </row>
    <row r="162" spans="4:5" ht="12.75" customHeight="1" x14ac:dyDescent="0.2">
      <c r="D162" s="101"/>
      <c r="E162" s="101"/>
    </row>
    <row r="163" spans="4:5" ht="12.75" customHeight="1" x14ac:dyDescent="0.2">
      <c r="D163" s="101"/>
      <c r="E163" s="101"/>
    </row>
    <row r="164" spans="4:5" ht="12.75" customHeight="1" x14ac:dyDescent="0.2">
      <c r="D164" s="101"/>
      <c r="E164" s="101"/>
    </row>
    <row r="165" spans="4:5" ht="12.75" customHeight="1" x14ac:dyDescent="0.2">
      <c r="D165" s="101"/>
      <c r="E165" s="101"/>
    </row>
    <row r="166" spans="4:5" ht="12.75" customHeight="1" x14ac:dyDescent="0.2">
      <c r="D166" s="101"/>
      <c r="E166" s="101"/>
    </row>
    <row r="167" spans="4:5" ht="12.75" customHeight="1" x14ac:dyDescent="0.2">
      <c r="D167" s="101"/>
      <c r="E167" s="101"/>
    </row>
    <row r="168" spans="4:5" ht="12.75" customHeight="1" x14ac:dyDescent="0.2">
      <c r="D168" s="101"/>
      <c r="E168" s="101"/>
    </row>
    <row r="169" spans="4:5" ht="12.75" customHeight="1" x14ac:dyDescent="0.2">
      <c r="D169" s="101"/>
      <c r="E169" s="101"/>
    </row>
    <row r="170" spans="4:5" ht="12.75" customHeight="1" x14ac:dyDescent="0.2">
      <c r="D170" s="101"/>
      <c r="E170" s="101"/>
    </row>
    <row r="171" spans="4:5" ht="12.75" customHeight="1" x14ac:dyDescent="0.2">
      <c r="D171" s="101"/>
      <c r="E171" s="101"/>
    </row>
    <row r="172" spans="4:5" ht="12.75" customHeight="1" x14ac:dyDescent="0.2">
      <c r="D172" s="101"/>
      <c r="E172" s="101"/>
    </row>
    <row r="173" spans="4:5" ht="12.75" customHeight="1" x14ac:dyDescent="0.2">
      <c r="D173" s="101"/>
      <c r="E173" s="101"/>
    </row>
    <row r="174" spans="4:5" ht="12.75" customHeight="1" x14ac:dyDescent="0.2">
      <c r="D174" s="101"/>
      <c r="E174" s="101"/>
    </row>
    <row r="175" spans="4:5" ht="12.75" customHeight="1" x14ac:dyDescent="0.2">
      <c r="D175" s="101"/>
      <c r="E175" s="101"/>
    </row>
    <row r="176" spans="4:5" ht="12.75" customHeight="1" x14ac:dyDescent="0.2">
      <c r="D176" s="101"/>
      <c r="E176" s="101"/>
    </row>
    <row r="177" spans="4:5" ht="12.75" customHeight="1" x14ac:dyDescent="0.2">
      <c r="D177" s="101"/>
      <c r="E177" s="101"/>
    </row>
    <row r="178" spans="4:5" ht="12.75" customHeight="1" x14ac:dyDescent="0.2">
      <c r="D178" s="101"/>
      <c r="E178" s="101"/>
    </row>
    <row r="179" spans="4:5" ht="12.75" customHeight="1" x14ac:dyDescent="0.2">
      <c r="D179" s="101"/>
      <c r="E179" s="101"/>
    </row>
    <row r="180" spans="4:5" ht="12.75" customHeight="1" x14ac:dyDescent="0.2">
      <c r="D180" s="101"/>
      <c r="E180" s="101"/>
    </row>
    <row r="181" spans="4:5" ht="12.75" customHeight="1" x14ac:dyDescent="0.2">
      <c r="D181" s="101"/>
      <c r="E181" s="101"/>
    </row>
    <row r="182" spans="4:5" ht="12.75" customHeight="1" x14ac:dyDescent="0.2">
      <c r="D182" s="101"/>
      <c r="E182" s="101"/>
    </row>
    <row r="183" spans="4:5" ht="12.75" customHeight="1" x14ac:dyDescent="0.2">
      <c r="D183" s="101"/>
      <c r="E183" s="101"/>
    </row>
    <row r="184" spans="4:5" ht="12.75" customHeight="1" x14ac:dyDescent="0.2">
      <c r="D184" s="101"/>
      <c r="E184" s="101"/>
    </row>
    <row r="185" spans="4:5" ht="12.75" customHeight="1" x14ac:dyDescent="0.2">
      <c r="D185" s="101"/>
      <c r="E185" s="101"/>
    </row>
    <row r="186" spans="4:5" ht="12.75" customHeight="1" x14ac:dyDescent="0.2">
      <c r="D186" s="101"/>
      <c r="E186" s="101"/>
    </row>
    <row r="187" spans="4:5" ht="12.75" customHeight="1" x14ac:dyDescent="0.2">
      <c r="D187" s="101"/>
      <c r="E187" s="101"/>
    </row>
    <row r="188" spans="4:5" ht="12.75" customHeight="1" x14ac:dyDescent="0.2">
      <c r="D188" s="101"/>
      <c r="E188" s="101"/>
    </row>
    <row r="189" spans="4:5" ht="12.75" customHeight="1" x14ac:dyDescent="0.2">
      <c r="D189" s="101"/>
      <c r="E189" s="101"/>
    </row>
    <row r="190" spans="4:5" ht="12.75" customHeight="1" x14ac:dyDescent="0.2">
      <c r="D190" s="101"/>
      <c r="E190" s="101"/>
    </row>
    <row r="191" spans="4:5" ht="12.75" customHeight="1" x14ac:dyDescent="0.2">
      <c r="D191" s="101"/>
      <c r="E191" s="101"/>
    </row>
    <row r="192" spans="4:5" ht="12.75" customHeight="1" x14ac:dyDescent="0.2">
      <c r="D192" s="101"/>
      <c r="E192" s="101"/>
    </row>
    <row r="193" spans="4:5" ht="12.75" customHeight="1" x14ac:dyDescent="0.2">
      <c r="D193" s="101"/>
      <c r="E193" s="101"/>
    </row>
    <row r="194" spans="4:5" ht="12.75" customHeight="1" x14ac:dyDescent="0.2">
      <c r="D194" s="101"/>
      <c r="E194" s="101"/>
    </row>
    <row r="195" spans="4:5" ht="12.75" customHeight="1" x14ac:dyDescent="0.2">
      <c r="D195" s="101"/>
      <c r="E195" s="101"/>
    </row>
    <row r="196" spans="4:5" ht="12.75" customHeight="1" x14ac:dyDescent="0.2">
      <c r="D196" s="101"/>
      <c r="E196" s="101"/>
    </row>
    <row r="197" spans="4:5" ht="12.75" customHeight="1" x14ac:dyDescent="0.2">
      <c r="D197" s="101"/>
      <c r="E197" s="101"/>
    </row>
    <row r="198" spans="4:5" ht="12.75" customHeight="1" x14ac:dyDescent="0.2">
      <c r="D198" s="101"/>
      <c r="E198" s="101"/>
    </row>
    <row r="199" spans="4:5" ht="12.75" customHeight="1" x14ac:dyDescent="0.2">
      <c r="D199" s="101"/>
      <c r="E199" s="101"/>
    </row>
    <row r="200" spans="4:5" ht="12.75" customHeight="1" x14ac:dyDescent="0.2">
      <c r="D200" s="101"/>
      <c r="E200" s="101"/>
    </row>
    <row r="201" spans="4:5" ht="12.75" customHeight="1" x14ac:dyDescent="0.2">
      <c r="D201" s="101"/>
      <c r="E201" s="101"/>
    </row>
    <row r="202" spans="4:5" ht="12.75" customHeight="1" x14ac:dyDescent="0.2">
      <c r="D202" s="101"/>
      <c r="E202" s="101"/>
    </row>
    <row r="203" spans="4:5" ht="12.75" customHeight="1" x14ac:dyDescent="0.2">
      <c r="D203" s="101"/>
      <c r="E203" s="101"/>
    </row>
    <row r="204" spans="4:5" ht="12.75" customHeight="1" x14ac:dyDescent="0.2">
      <c r="D204" s="101"/>
      <c r="E204" s="101"/>
    </row>
    <row r="205" spans="4:5" ht="12.75" customHeight="1" x14ac:dyDescent="0.2">
      <c r="D205" s="101"/>
      <c r="E205" s="101"/>
    </row>
    <row r="206" spans="4:5" ht="12.75" customHeight="1" x14ac:dyDescent="0.2">
      <c r="D206" s="101"/>
      <c r="E206" s="101"/>
    </row>
    <row r="207" spans="4:5" ht="12.75" customHeight="1" x14ac:dyDescent="0.2">
      <c r="D207" s="101"/>
      <c r="E207" s="101"/>
    </row>
    <row r="208" spans="4:5" ht="12.75" customHeight="1" x14ac:dyDescent="0.2">
      <c r="D208" s="101"/>
      <c r="E208" s="101"/>
    </row>
    <row r="209" spans="4:5" ht="12.75" customHeight="1" x14ac:dyDescent="0.2">
      <c r="D209" s="101"/>
      <c r="E209" s="101"/>
    </row>
    <row r="210" spans="4:5" ht="12.75" customHeight="1" x14ac:dyDescent="0.2">
      <c r="D210" s="101"/>
      <c r="E210" s="101"/>
    </row>
    <row r="211" spans="4:5" ht="12.75" customHeight="1" x14ac:dyDescent="0.2">
      <c r="D211" s="101"/>
      <c r="E211" s="101"/>
    </row>
    <row r="212" spans="4:5" ht="12.75" customHeight="1" x14ac:dyDescent="0.2">
      <c r="D212" s="101"/>
      <c r="E212" s="101"/>
    </row>
    <row r="213" spans="4:5" ht="12.75" customHeight="1" x14ac:dyDescent="0.2">
      <c r="D213" s="101"/>
      <c r="E213" s="101"/>
    </row>
    <row r="214" spans="4:5" ht="12.75" customHeight="1" x14ac:dyDescent="0.2">
      <c r="D214" s="101"/>
      <c r="E214" s="101"/>
    </row>
    <row r="215" spans="4:5" ht="12.75" customHeight="1" x14ac:dyDescent="0.2">
      <c r="D215" s="101"/>
      <c r="E215" s="101"/>
    </row>
    <row r="216" spans="4:5" ht="12.75" customHeight="1" x14ac:dyDescent="0.2">
      <c r="D216" s="101"/>
      <c r="E216" s="101"/>
    </row>
    <row r="217" spans="4:5" ht="12.75" customHeight="1" x14ac:dyDescent="0.2">
      <c r="D217" s="101"/>
      <c r="E217" s="101"/>
    </row>
    <row r="218" spans="4:5" ht="12.75" customHeight="1" x14ac:dyDescent="0.2">
      <c r="D218" s="101"/>
      <c r="E218" s="101"/>
    </row>
    <row r="219" spans="4:5" ht="12.75" customHeight="1" x14ac:dyDescent="0.2">
      <c r="D219" s="101"/>
      <c r="E219" s="101"/>
    </row>
    <row r="220" spans="4:5" ht="12.75" customHeight="1" x14ac:dyDescent="0.2">
      <c r="D220" s="101"/>
      <c r="E220" s="101"/>
    </row>
    <row r="221" spans="4:5" ht="12.75" customHeight="1" x14ac:dyDescent="0.2">
      <c r="D221" s="101"/>
      <c r="E221" s="101"/>
    </row>
    <row r="222" spans="4:5" ht="12.75" customHeight="1" x14ac:dyDescent="0.2">
      <c r="D222" s="101"/>
      <c r="E222" s="101"/>
    </row>
    <row r="223" spans="4:5" ht="12.75" customHeight="1" x14ac:dyDescent="0.2">
      <c r="D223" s="101"/>
      <c r="E223" s="101"/>
    </row>
    <row r="224" spans="4:5" ht="12.75" customHeight="1" x14ac:dyDescent="0.2">
      <c r="D224" s="101"/>
      <c r="E224" s="101"/>
    </row>
    <row r="225" spans="4:5" ht="12.75" customHeight="1" x14ac:dyDescent="0.2">
      <c r="D225" s="101"/>
      <c r="E225" s="101"/>
    </row>
    <row r="226" spans="4:5" ht="12.75" customHeight="1" x14ac:dyDescent="0.2">
      <c r="D226" s="101"/>
      <c r="E226" s="101"/>
    </row>
    <row r="227" spans="4:5" ht="12.75" customHeight="1" x14ac:dyDescent="0.2">
      <c r="D227" s="101"/>
      <c r="E227" s="101"/>
    </row>
    <row r="228" spans="4:5" ht="12.75" customHeight="1" x14ac:dyDescent="0.2">
      <c r="D228" s="101"/>
      <c r="E228" s="101"/>
    </row>
    <row r="229" spans="4:5" ht="12.75" customHeight="1" x14ac:dyDescent="0.2">
      <c r="D229" s="101"/>
      <c r="E229" s="101"/>
    </row>
    <row r="230" spans="4:5" ht="12.75" customHeight="1" x14ac:dyDescent="0.2">
      <c r="D230" s="101"/>
      <c r="E230" s="101"/>
    </row>
    <row r="231" spans="4:5" ht="12.75" customHeight="1" x14ac:dyDescent="0.2">
      <c r="D231" s="101"/>
      <c r="E231" s="101"/>
    </row>
    <row r="232" spans="4:5" ht="12.75" customHeight="1" x14ac:dyDescent="0.2">
      <c r="D232" s="101"/>
      <c r="E232" s="101"/>
    </row>
    <row r="233" spans="4:5" ht="12.75" customHeight="1" x14ac:dyDescent="0.2">
      <c r="D233" s="101"/>
      <c r="E233" s="101"/>
    </row>
    <row r="234" spans="4:5" ht="12.75" customHeight="1" x14ac:dyDescent="0.2">
      <c r="D234" s="101"/>
      <c r="E234" s="101"/>
    </row>
    <row r="235" spans="4:5" ht="12.75" customHeight="1" x14ac:dyDescent="0.2">
      <c r="D235" s="101"/>
      <c r="E235" s="101"/>
    </row>
    <row r="236" spans="4:5" ht="12.75" customHeight="1" x14ac:dyDescent="0.2">
      <c r="D236" s="101"/>
      <c r="E236" s="101"/>
    </row>
    <row r="237" spans="4:5" ht="12.75" customHeight="1" x14ac:dyDescent="0.2">
      <c r="D237" s="101"/>
      <c r="E237" s="101"/>
    </row>
    <row r="238" spans="4:5" ht="12.75" customHeight="1" x14ac:dyDescent="0.2">
      <c r="D238" s="101"/>
      <c r="E238" s="101"/>
    </row>
    <row r="239" spans="4:5" ht="12.75" customHeight="1" x14ac:dyDescent="0.2">
      <c r="D239" s="101"/>
      <c r="E239" s="101"/>
    </row>
    <row r="240" spans="4:5" ht="12.75" customHeight="1" x14ac:dyDescent="0.2">
      <c r="D240" s="101"/>
      <c r="E240" s="101"/>
    </row>
    <row r="241" spans="4:5" ht="12.75" customHeight="1" x14ac:dyDescent="0.2">
      <c r="D241" s="101"/>
      <c r="E241" s="101"/>
    </row>
    <row r="242" spans="4:5" ht="12.75" customHeight="1" x14ac:dyDescent="0.2">
      <c r="D242" s="101"/>
      <c r="E242" s="101"/>
    </row>
    <row r="243" spans="4:5" ht="12.75" customHeight="1" x14ac:dyDescent="0.2">
      <c r="D243" s="101"/>
      <c r="E243" s="101"/>
    </row>
    <row r="244" spans="4:5" ht="12.75" customHeight="1" x14ac:dyDescent="0.2">
      <c r="D244" s="101"/>
      <c r="E244" s="101"/>
    </row>
    <row r="245" spans="4:5" ht="12.75" customHeight="1" x14ac:dyDescent="0.2">
      <c r="D245" s="101"/>
      <c r="E245" s="101"/>
    </row>
    <row r="246" spans="4:5" ht="12.75" customHeight="1" x14ac:dyDescent="0.2">
      <c r="D246" s="101"/>
      <c r="E246" s="101"/>
    </row>
    <row r="247" spans="4:5" ht="12.75" customHeight="1" x14ac:dyDescent="0.2">
      <c r="D247" s="101"/>
      <c r="E247" s="101"/>
    </row>
    <row r="248" spans="4:5" ht="12.75" customHeight="1" x14ac:dyDescent="0.2">
      <c r="D248" s="101"/>
      <c r="E248" s="101"/>
    </row>
    <row r="249" spans="4:5" ht="12.75" customHeight="1" x14ac:dyDescent="0.2">
      <c r="D249" s="101"/>
      <c r="E249" s="101"/>
    </row>
    <row r="250" spans="4:5" ht="12.75" customHeight="1" x14ac:dyDescent="0.2">
      <c r="D250" s="101"/>
      <c r="E250" s="101"/>
    </row>
    <row r="251" spans="4:5" ht="12.75" customHeight="1" x14ac:dyDescent="0.2">
      <c r="D251" s="101"/>
      <c r="E251" s="101"/>
    </row>
    <row r="252" spans="4:5" ht="12.75" customHeight="1" x14ac:dyDescent="0.2">
      <c r="D252" s="101"/>
      <c r="E252" s="101"/>
    </row>
    <row r="253" spans="4:5" ht="12.75" customHeight="1" x14ac:dyDescent="0.2">
      <c r="D253" s="101"/>
      <c r="E253" s="101"/>
    </row>
    <row r="254" spans="4:5" ht="12.75" customHeight="1" x14ac:dyDescent="0.2">
      <c r="D254" s="101"/>
      <c r="E254" s="101"/>
    </row>
    <row r="255" spans="4:5" ht="12.75" customHeight="1" x14ac:dyDescent="0.2">
      <c r="D255" s="101"/>
      <c r="E255" s="101"/>
    </row>
    <row r="256" spans="4:5" ht="12.75" customHeight="1" x14ac:dyDescent="0.2">
      <c r="D256" s="101"/>
      <c r="E256" s="101"/>
    </row>
    <row r="257" spans="4:5" ht="12.75" customHeight="1" x14ac:dyDescent="0.2">
      <c r="D257" s="101"/>
      <c r="E257" s="101"/>
    </row>
    <row r="258" spans="4:5" ht="12.75" customHeight="1" x14ac:dyDescent="0.2">
      <c r="D258" s="101"/>
      <c r="E258" s="101"/>
    </row>
    <row r="259" spans="4:5" ht="12.75" customHeight="1" x14ac:dyDescent="0.2">
      <c r="D259" s="101"/>
      <c r="E259" s="101"/>
    </row>
    <row r="260" spans="4:5" ht="12.75" customHeight="1" x14ac:dyDescent="0.2">
      <c r="D260" s="101"/>
      <c r="E260" s="101"/>
    </row>
    <row r="261" spans="4:5" ht="12.75" customHeight="1" x14ac:dyDescent="0.2">
      <c r="D261" s="101"/>
      <c r="E261" s="101"/>
    </row>
    <row r="262" spans="4:5" ht="12.75" customHeight="1" x14ac:dyDescent="0.2">
      <c r="D262" s="101"/>
      <c r="E262" s="101"/>
    </row>
    <row r="263" spans="4:5" ht="12.75" customHeight="1" x14ac:dyDescent="0.2">
      <c r="D263" s="101"/>
      <c r="E263" s="101"/>
    </row>
    <row r="264" spans="4:5" ht="12.75" customHeight="1" x14ac:dyDescent="0.2">
      <c r="D264" s="101"/>
      <c r="E264" s="101"/>
    </row>
    <row r="265" spans="4:5" ht="12.75" customHeight="1" x14ac:dyDescent="0.2">
      <c r="D265" s="101"/>
      <c r="E265" s="101"/>
    </row>
    <row r="266" spans="4:5" ht="12.75" customHeight="1" x14ac:dyDescent="0.2">
      <c r="D266" s="101"/>
      <c r="E266" s="101"/>
    </row>
    <row r="267" spans="4:5" ht="12.75" customHeight="1" x14ac:dyDescent="0.2">
      <c r="D267" s="101"/>
      <c r="E267" s="101"/>
    </row>
    <row r="268" spans="4:5" ht="12.75" customHeight="1" x14ac:dyDescent="0.2">
      <c r="D268" s="101"/>
      <c r="E268" s="101"/>
    </row>
    <row r="269" spans="4:5" ht="12.75" customHeight="1" x14ac:dyDescent="0.2">
      <c r="D269" s="101"/>
      <c r="E269" s="101"/>
    </row>
    <row r="270" spans="4:5" ht="12.75" customHeight="1" x14ac:dyDescent="0.2">
      <c r="D270" s="101"/>
      <c r="E270" s="101"/>
    </row>
    <row r="271" spans="4:5" ht="12.75" customHeight="1" x14ac:dyDescent="0.2">
      <c r="D271" s="101"/>
      <c r="E271" s="101"/>
    </row>
    <row r="272" spans="4:5" ht="12.75" customHeight="1" x14ac:dyDescent="0.2">
      <c r="D272" s="101"/>
      <c r="E272" s="101"/>
    </row>
    <row r="273" spans="4:5" ht="12.75" customHeight="1" x14ac:dyDescent="0.2">
      <c r="D273" s="101"/>
      <c r="E273" s="101"/>
    </row>
    <row r="274" spans="4:5" ht="12.75" customHeight="1" x14ac:dyDescent="0.2">
      <c r="D274" s="101"/>
      <c r="E274" s="101"/>
    </row>
    <row r="275" spans="4:5" ht="12.75" customHeight="1" x14ac:dyDescent="0.2">
      <c r="D275" s="101"/>
      <c r="E275" s="101"/>
    </row>
    <row r="276" spans="4:5" ht="12.75" customHeight="1" x14ac:dyDescent="0.2">
      <c r="D276" s="101"/>
      <c r="E276" s="101"/>
    </row>
    <row r="277" spans="4:5" ht="12.75" customHeight="1" x14ac:dyDescent="0.2">
      <c r="D277" s="101"/>
      <c r="E277" s="101"/>
    </row>
    <row r="278" spans="4:5" ht="12.75" customHeight="1" x14ac:dyDescent="0.2">
      <c r="D278" s="101"/>
      <c r="E278" s="101"/>
    </row>
    <row r="279" spans="4:5" ht="12.75" customHeight="1" x14ac:dyDescent="0.2">
      <c r="D279" s="101"/>
      <c r="E279" s="101"/>
    </row>
    <row r="280" spans="4:5" ht="12.75" customHeight="1" x14ac:dyDescent="0.2">
      <c r="D280" s="101"/>
      <c r="E280" s="101"/>
    </row>
    <row r="281" spans="4:5" ht="12.75" customHeight="1" x14ac:dyDescent="0.2">
      <c r="D281" s="101"/>
      <c r="E281" s="101"/>
    </row>
    <row r="282" spans="4:5" ht="12.75" customHeight="1" x14ac:dyDescent="0.2">
      <c r="D282" s="101"/>
      <c r="E282" s="101"/>
    </row>
    <row r="283" spans="4:5" ht="12.75" customHeight="1" x14ac:dyDescent="0.2">
      <c r="D283" s="101"/>
      <c r="E283" s="101"/>
    </row>
    <row r="284" spans="4:5" ht="15.75" customHeight="1" x14ac:dyDescent="0.2"/>
    <row r="285" spans="4:5" ht="15.75" customHeight="1" x14ac:dyDescent="0.2"/>
    <row r="286" spans="4:5" ht="15.75" customHeight="1" x14ac:dyDescent="0.2"/>
    <row r="287" spans="4:5" ht="15.75" customHeight="1" x14ac:dyDescent="0.2"/>
    <row r="288" spans="4:5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35433070866141736" right="0.35433070866141736" top="0.98425196850393704" bottom="0.98425196850393704" header="0" footer="0"/>
  <pageSetup orientation="portrait"/>
  <rowBreaks count="1" manualBreakCount="1">
    <brk id="75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00"/>
  <sheetViews>
    <sheetView workbookViewId="0">
      <selection activeCell="C3" sqref="C3"/>
    </sheetView>
  </sheetViews>
  <sheetFormatPr baseColWidth="10" defaultColWidth="12.7109375" defaultRowHeight="15" customHeight="1" x14ac:dyDescent="0.2"/>
  <cols>
    <col min="1" max="1" width="4.28515625" customWidth="1"/>
    <col min="2" max="2" width="5.42578125" customWidth="1"/>
    <col min="3" max="3" width="180.28515625" customWidth="1"/>
    <col min="4" max="6" width="10.42578125" customWidth="1"/>
    <col min="7" max="26" width="12.42578125" customWidth="1"/>
  </cols>
  <sheetData>
    <row r="1" spans="1:5" ht="24" customHeight="1" x14ac:dyDescent="0.35">
      <c r="A1" s="102"/>
      <c r="B1" s="102"/>
      <c r="C1" s="102"/>
      <c r="D1" s="102"/>
      <c r="E1" s="102"/>
    </row>
    <row r="2" spans="1:5" ht="24" customHeight="1" x14ac:dyDescent="0.35">
      <c r="A2" s="102"/>
      <c r="B2" s="103"/>
      <c r="C2" s="104" t="s">
        <v>566</v>
      </c>
      <c r="D2" s="102"/>
      <c r="E2" s="102"/>
    </row>
    <row r="3" spans="1:5" ht="24" customHeight="1" x14ac:dyDescent="0.35">
      <c r="A3" s="102"/>
      <c r="B3" s="105">
        <v>1</v>
      </c>
      <c r="C3" s="106" t="s">
        <v>567</v>
      </c>
      <c r="D3" s="102"/>
      <c r="E3" s="102"/>
    </row>
    <row r="4" spans="1:5" ht="24" customHeight="1" x14ac:dyDescent="0.35">
      <c r="A4" s="102"/>
      <c r="B4" s="107">
        <f t="shared" ref="B4:B163" si="0">B3+1</f>
        <v>2</v>
      </c>
      <c r="C4" s="108" t="s">
        <v>568</v>
      </c>
      <c r="D4" s="102"/>
      <c r="E4" s="102"/>
    </row>
    <row r="5" spans="1:5" ht="24" customHeight="1" x14ac:dyDescent="0.35">
      <c r="A5" s="102"/>
      <c r="B5" s="107">
        <f t="shared" si="0"/>
        <v>3</v>
      </c>
      <c r="C5" s="108" t="s">
        <v>569</v>
      </c>
      <c r="D5" s="102"/>
      <c r="E5" s="102"/>
    </row>
    <row r="6" spans="1:5" ht="24" customHeight="1" x14ac:dyDescent="0.35">
      <c r="A6" s="102"/>
      <c r="B6" s="107">
        <f t="shared" si="0"/>
        <v>4</v>
      </c>
      <c r="C6" s="108" t="s">
        <v>570</v>
      </c>
      <c r="D6" s="102"/>
      <c r="E6" s="102"/>
    </row>
    <row r="7" spans="1:5" ht="24" customHeight="1" x14ac:dyDescent="0.35">
      <c r="A7" s="102"/>
      <c r="B7" s="107">
        <f t="shared" si="0"/>
        <v>5</v>
      </c>
      <c r="C7" s="108" t="s">
        <v>571</v>
      </c>
      <c r="D7" s="102"/>
      <c r="E7" s="102"/>
    </row>
    <row r="8" spans="1:5" ht="24" customHeight="1" x14ac:dyDescent="0.35">
      <c r="A8" s="102"/>
      <c r="B8" s="107">
        <f t="shared" si="0"/>
        <v>6</v>
      </c>
      <c r="C8" s="108" t="s">
        <v>572</v>
      </c>
      <c r="D8" s="102"/>
      <c r="E8" s="102"/>
    </row>
    <row r="9" spans="1:5" ht="24" customHeight="1" x14ac:dyDescent="0.35">
      <c r="A9" s="102"/>
      <c r="B9" s="107">
        <f t="shared" si="0"/>
        <v>7</v>
      </c>
      <c r="C9" s="108" t="s">
        <v>573</v>
      </c>
      <c r="D9" s="102"/>
      <c r="E9" s="102"/>
    </row>
    <row r="10" spans="1:5" ht="24" customHeight="1" x14ac:dyDescent="0.35">
      <c r="A10" s="102"/>
      <c r="B10" s="107">
        <f t="shared" si="0"/>
        <v>8</v>
      </c>
      <c r="C10" s="108" t="s">
        <v>574</v>
      </c>
      <c r="D10" s="102"/>
      <c r="E10" s="102"/>
    </row>
    <row r="11" spans="1:5" ht="24" customHeight="1" x14ac:dyDescent="0.35">
      <c r="A11" s="102"/>
      <c r="B11" s="107">
        <f t="shared" si="0"/>
        <v>9</v>
      </c>
      <c r="C11" s="108" t="s">
        <v>575</v>
      </c>
      <c r="D11" s="102"/>
      <c r="E11" s="102"/>
    </row>
    <row r="12" spans="1:5" ht="24" customHeight="1" x14ac:dyDescent="0.35">
      <c r="A12" s="102"/>
      <c r="B12" s="107">
        <f t="shared" si="0"/>
        <v>10</v>
      </c>
      <c r="C12" s="108" t="s">
        <v>576</v>
      </c>
      <c r="D12" s="102"/>
      <c r="E12" s="102"/>
    </row>
    <row r="13" spans="1:5" ht="24" customHeight="1" x14ac:dyDescent="0.35">
      <c r="A13" s="102"/>
      <c r="B13" s="107">
        <f t="shared" si="0"/>
        <v>11</v>
      </c>
      <c r="C13" s="108" t="s">
        <v>577</v>
      </c>
      <c r="D13" s="102"/>
      <c r="E13" s="102"/>
    </row>
    <row r="14" spans="1:5" ht="24" customHeight="1" x14ac:dyDescent="0.35">
      <c r="A14" s="102"/>
      <c r="B14" s="107">
        <f t="shared" si="0"/>
        <v>12</v>
      </c>
      <c r="C14" s="108" t="s">
        <v>578</v>
      </c>
      <c r="D14" s="102"/>
      <c r="E14" s="102"/>
    </row>
    <row r="15" spans="1:5" ht="24" customHeight="1" x14ac:dyDescent="0.35">
      <c r="A15" s="102"/>
      <c r="B15" s="107">
        <f t="shared" si="0"/>
        <v>13</v>
      </c>
      <c r="C15" s="108" t="s">
        <v>579</v>
      </c>
      <c r="D15" s="102"/>
      <c r="E15" s="102"/>
    </row>
    <row r="16" spans="1:5" ht="24" customHeight="1" x14ac:dyDescent="0.35">
      <c r="A16" s="102"/>
      <c r="B16" s="107">
        <f t="shared" si="0"/>
        <v>14</v>
      </c>
      <c r="C16" s="108" t="s">
        <v>580</v>
      </c>
      <c r="D16" s="102"/>
      <c r="E16" s="102"/>
    </row>
    <row r="17" spans="1:5" ht="24" customHeight="1" x14ac:dyDescent="0.35">
      <c r="A17" s="102"/>
      <c r="B17" s="107">
        <f t="shared" si="0"/>
        <v>15</v>
      </c>
      <c r="C17" s="108" t="s">
        <v>581</v>
      </c>
      <c r="D17" s="102"/>
      <c r="E17" s="102"/>
    </row>
    <row r="18" spans="1:5" ht="24" customHeight="1" x14ac:dyDescent="0.35">
      <c r="A18" s="102"/>
      <c r="B18" s="107">
        <f t="shared" si="0"/>
        <v>16</v>
      </c>
      <c r="C18" s="108" t="s">
        <v>582</v>
      </c>
      <c r="D18" s="102"/>
      <c r="E18" s="102"/>
    </row>
    <row r="19" spans="1:5" ht="24" customHeight="1" x14ac:dyDescent="0.35">
      <c r="A19" s="102"/>
      <c r="B19" s="107">
        <f t="shared" si="0"/>
        <v>17</v>
      </c>
      <c r="C19" s="108" t="s">
        <v>583</v>
      </c>
      <c r="D19" s="102"/>
      <c r="E19" s="102"/>
    </row>
    <row r="20" spans="1:5" ht="24" customHeight="1" x14ac:dyDescent="0.35">
      <c r="A20" s="102"/>
      <c r="B20" s="107">
        <f t="shared" si="0"/>
        <v>18</v>
      </c>
      <c r="C20" s="108" t="s">
        <v>584</v>
      </c>
      <c r="D20" s="102"/>
      <c r="E20" s="102"/>
    </row>
    <row r="21" spans="1:5" ht="24" customHeight="1" x14ac:dyDescent="0.35">
      <c r="A21" s="102"/>
      <c r="B21" s="107">
        <f t="shared" si="0"/>
        <v>19</v>
      </c>
      <c r="C21" s="108" t="s">
        <v>585</v>
      </c>
      <c r="D21" s="102"/>
      <c r="E21" s="102"/>
    </row>
    <row r="22" spans="1:5" ht="24" customHeight="1" x14ac:dyDescent="0.35">
      <c r="A22" s="102"/>
      <c r="B22" s="107">
        <f t="shared" si="0"/>
        <v>20</v>
      </c>
      <c r="C22" s="108" t="s">
        <v>586</v>
      </c>
      <c r="D22" s="102"/>
      <c r="E22" s="102"/>
    </row>
    <row r="23" spans="1:5" ht="24" customHeight="1" x14ac:dyDescent="0.35">
      <c r="A23" s="102"/>
      <c r="B23" s="107">
        <f t="shared" si="0"/>
        <v>21</v>
      </c>
      <c r="C23" s="108" t="s">
        <v>587</v>
      </c>
      <c r="D23" s="102"/>
      <c r="E23" s="102"/>
    </row>
    <row r="24" spans="1:5" ht="24" customHeight="1" x14ac:dyDescent="0.35">
      <c r="A24" s="102"/>
      <c r="B24" s="107">
        <f t="shared" si="0"/>
        <v>22</v>
      </c>
      <c r="C24" s="108" t="s">
        <v>588</v>
      </c>
      <c r="D24" s="102"/>
      <c r="E24" s="102"/>
    </row>
    <row r="25" spans="1:5" ht="24" customHeight="1" x14ac:dyDescent="0.35">
      <c r="A25" s="102"/>
      <c r="B25" s="107">
        <f t="shared" si="0"/>
        <v>23</v>
      </c>
      <c r="C25" s="108" t="s">
        <v>589</v>
      </c>
      <c r="D25" s="102"/>
      <c r="E25" s="102"/>
    </row>
    <row r="26" spans="1:5" ht="24" customHeight="1" x14ac:dyDescent="0.35">
      <c r="A26" s="102"/>
      <c r="B26" s="107">
        <f t="shared" si="0"/>
        <v>24</v>
      </c>
      <c r="C26" s="108" t="s">
        <v>590</v>
      </c>
      <c r="D26" s="102"/>
      <c r="E26" s="102"/>
    </row>
    <row r="27" spans="1:5" ht="24" customHeight="1" x14ac:dyDescent="0.35">
      <c r="A27" s="102"/>
      <c r="B27" s="107">
        <f t="shared" si="0"/>
        <v>25</v>
      </c>
      <c r="C27" s="108" t="s">
        <v>591</v>
      </c>
      <c r="D27" s="102"/>
      <c r="E27" s="102"/>
    </row>
    <row r="28" spans="1:5" ht="24" customHeight="1" x14ac:dyDescent="0.35">
      <c r="A28" s="102"/>
      <c r="B28" s="107">
        <f t="shared" si="0"/>
        <v>26</v>
      </c>
      <c r="C28" s="108" t="s">
        <v>592</v>
      </c>
      <c r="D28" s="102"/>
      <c r="E28" s="102"/>
    </row>
    <row r="29" spans="1:5" ht="24" customHeight="1" x14ac:dyDescent="0.35">
      <c r="A29" s="102"/>
      <c r="B29" s="107">
        <f t="shared" si="0"/>
        <v>27</v>
      </c>
      <c r="C29" s="108" t="s">
        <v>593</v>
      </c>
      <c r="D29" s="102"/>
      <c r="E29" s="102"/>
    </row>
    <row r="30" spans="1:5" ht="24" customHeight="1" x14ac:dyDescent="0.35">
      <c r="A30" s="102"/>
      <c r="B30" s="107">
        <f t="shared" si="0"/>
        <v>28</v>
      </c>
      <c r="C30" s="108" t="s">
        <v>594</v>
      </c>
      <c r="D30" s="102"/>
      <c r="E30" s="102"/>
    </row>
    <row r="31" spans="1:5" ht="24" customHeight="1" x14ac:dyDescent="0.35">
      <c r="A31" s="102"/>
      <c r="B31" s="107">
        <f t="shared" si="0"/>
        <v>29</v>
      </c>
      <c r="C31" s="108" t="s">
        <v>595</v>
      </c>
      <c r="D31" s="102"/>
      <c r="E31" s="102"/>
    </row>
    <row r="32" spans="1:5" ht="24" customHeight="1" x14ac:dyDescent="0.35">
      <c r="A32" s="102"/>
      <c r="B32" s="107">
        <f t="shared" si="0"/>
        <v>30</v>
      </c>
      <c r="C32" s="108" t="s">
        <v>596</v>
      </c>
      <c r="D32" s="102"/>
      <c r="E32" s="102"/>
    </row>
    <row r="33" spans="1:5" ht="24" customHeight="1" x14ac:dyDescent="0.35">
      <c r="A33" s="102"/>
      <c r="B33" s="107">
        <f t="shared" si="0"/>
        <v>31</v>
      </c>
      <c r="C33" s="108" t="s">
        <v>597</v>
      </c>
      <c r="D33" s="102"/>
      <c r="E33" s="102"/>
    </row>
    <row r="34" spans="1:5" ht="24" customHeight="1" x14ac:dyDescent="0.35">
      <c r="A34" s="102"/>
      <c r="B34" s="107">
        <f t="shared" si="0"/>
        <v>32</v>
      </c>
      <c r="C34" s="108" t="s">
        <v>598</v>
      </c>
      <c r="D34" s="102"/>
      <c r="E34" s="102"/>
    </row>
    <row r="35" spans="1:5" ht="24" customHeight="1" x14ac:dyDescent="0.35">
      <c r="A35" s="102"/>
      <c r="B35" s="107">
        <f t="shared" si="0"/>
        <v>33</v>
      </c>
      <c r="C35" s="108" t="s">
        <v>599</v>
      </c>
      <c r="D35" s="102"/>
      <c r="E35" s="102"/>
    </row>
    <row r="36" spans="1:5" ht="24" customHeight="1" x14ac:dyDescent="0.35">
      <c r="A36" s="102"/>
      <c r="B36" s="107">
        <f t="shared" si="0"/>
        <v>34</v>
      </c>
      <c r="C36" s="108" t="s">
        <v>600</v>
      </c>
      <c r="D36" s="102"/>
      <c r="E36" s="102"/>
    </row>
    <row r="37" spans="1:5" ht="24" customHeight="1" x14ac:dyDescent="0.35">
      <c r="A37" s="102"/>
      <c r="B37" s="107">
        <f t="shared" si="0"/>
        <v>35</v>
      </c>
      <c r="C37" s="108" t="s">
        <v>601</v>
      </c>
      <c r="D37" s="102"/>
      <c r="E37" s="102"/>
    </row>
    <row r="38" spans="1:5" ht="24" customHeight="1" x14ac:dyDescent="0.35">
      <c r="A38" s="102"/>
      <c r="B38" s="107">
        <f t="shared" si="0"/>
        <v>36</v>
      </c>
      <c r="C38" s="108" t="s">
        <v>602</v>
      </c>
      <c r="D38" s="102"/>
      <c r="E38" s="102"/>
    </row>
    <row r="39" spans="1:5" ht="24" customHeight="1" x14ac:dyDescent="0.35">
      <c r="A39" s="102"/>
      <c r="B39" s="107">
        <f t="shared" si="0"/>
        <v>37</v>
      </c>
      <c r="C39" s="108" t="s">
        <v>603</v>
      </c>
      <c r="D39" s="102"/>
      <c r="E39" s="102"/>
    </row>
    <row r="40" spans="1:5" ht="24" customHeight="1" x14ac:dyDescent="0.35">
      <c r="A40" s="102"/>
      <c r="B40" s="107">
        <f t="shared" si="0"/>
        <v>38</v>
      </c>
      <c r="C40" s="108" t="s">
        <v>604</v>
      </c>
      <c r="D40" s="102"/>
      <c r="E40" s="102"/>
    </row>
    <row r="41" spans="1:5" ht="24" customHeight="1" x14ac:dyDescent="0.35">
      <c r="A41" s="102"/>
      <c r="B41" s="107">
        <f t="shared" si="0"/>
        <v>39</v>
      </c>
      <c r="C41" s="108" t="s">
        <v>605</v>
      </c>
      <c r="D41" s="102"/>
      <c r="E41" s="102"/>
    </row>
    <row r="42" spans="1:5" ht="24" customHeight="1" x14ac:dyDescent="0.35">
      <c r="A42" s="102"/>
      <c r="B42" s="107">
        <f t="shared" si="0"/>
        <v>40</v>
      </c>
      <c r="C42" s="108" t="s">
        <v>606</v>
      </c>
      <c r="D42" s="102"/>
      <c r="E42" s="102"/>
    </row>
    <row r="43" spans="1:5" ht="24" customHeight="1" x14ac:dyDescent="0.35">
      <c r="A43" s="102"/>
      <c r="B43" s="107">
        <f t="shared" si="0"/>
        <v>41</v>
      </c>
      <c r="C43" s="108" t="s">
        <v>607</v>
      </c>
      <c r="D43" s="102"/>
      <c r="E43" s="102"/>
    </row>
    <row r="44" spans="1:5" ht="24" customHeight="1" x14ac:dyDescent="0.35">
      <c r="A44" s="102"/>
      <c r="B44" s="107">
        <f t="shared" si="0"/>
        <v>42</v>
      </c>
      <c r="C44" s="108" t="s">
        <v>608</v>
      </c>
      <c r="D44" s="102"/>
      <c r="E44" s="102"/>
    </row>
    <row r="45" spans="1:5" ht="24" customHeight="1" x14ac:dyDescent="0.35">
      <c r="A45" s="102"/>
      <c r="B45" s="107">
        <f t="shared" si="0"/>
        <v>43</v>
      </c>
      <c r="C45" s="108" t="s">
        <v>609</v>
      </c>
      <c r="D45" s="102"/>
      <c r="E45" s="102"/>
    </row>
    <row r="46" spans="1:5" ht="24" customHeight="1" x14ac:dyDescent="0.35">
      <c r="A46" s="102"/>
      <c r="B46" s="107">
        <f t="shared" si="0"/>
        <v>44</v>
      </c>
      <c r="C46" s="108" t="s">
        <v>610</v>
      </c>
      <c r="D46" s="102"/>
      <c r="E46" s="102"/>
    </row>
    <row r="47" spans="1:5" ht="24" customHeight="1" x14ac:dyDescent="0.35">
      <c r="A47" s="102"/>
      <c r="B47" s="107">
        <f t="shared" si="0"/>
        <v>45</v>
      </c>
      <c r="C47" s="108" t="s">
        <v>611</v>
      </c>
      <c r="D47" s="102"/>
      <c r="E47" s="102"/>
    </row>
    <row r="48" spans="1:5" ht="24" customHeight="1" x14ac:dyDescent="0.35">
      <c r="A48" s="102"/>
      <c r="B48" s="107">
        <f t="shared" si="0"/>
        <v>46</v>
      </c>
      <c r="C48" s="108" t="s">
        <v>612</v>
      </c>
      <c r="D48" s="102"/>
      <c r="E48" s="102"/>
    </row>
    <row r="49" spans="1:5" ht="24" customHeight="1" x14ac:dyDescent="0.35">
      <c r="A49" s="102"/>
      <c r="B49" s="107">
        <f t="shared" si="0"/>
        <v>47</v>
      </c>
      <c r="C49" s="108" t="s">
        <v>613</v>
      </c>
      <c r="D49" s="102"/>
      <c r="E49" s="102"/>
    </row>
    <row r="50" spans="1:5" ht="24" customHeight="1" x14ac:dyDescent="0.35">
      <c r="A50" s="102"/>
      <c r="B50" s="107">
        <f t="shared" si="0"/>
        <v>48</v>
      </c>
      <c r="C50" s="108" t="s">
        <v>614</v>
      </c>
      <c r="D50" s="102"/>
      <c r="E50" s="102"/>
    </row>
    <row r="51" spans="1:5" ht="24" customHeight="1" x14ac:dyDescent="0.35">
      <c r="A51" s="102"/>
      <c r="B51" s="107">
        <f t="shared" si="0"/>
        <v>49</v>
      </c>
      <c r="C51" s="108" t="s">
        <v>615</v>
      </c>
      <c r="D51" s="102"/>
      <c r="E51" s="102"/>
    </row>
    <row r="52" spans="1:5" ht="24" customHeight="1" x14ac:dyDescent="0.35">
      <c r="A52" s="102"/>
      <c r="B52" s="107">
        <f t="shared" si="0"/>
        <v>50</v>
      </c>
      <c r="C52" s="108" t="s">
        <v>616</v>
      </c>
      <c r="D52" s="102"/>
      <c r="E52" s="102"/>
    </row>
    <row r="53" spans="1:5" ht="24" customHeight="1" x14ac:dyDescent="0.35">
      <c r="A53" s="102"/>
      <c r="B53" s="107">
        <f t="shared" si="0"/>
        <v>51</v>
      </c>
      <c r="C53" s="108" t="s">
        <v>617</v>
      </c>
      <c r="D53" s="102"/>
      <c r="E53" s="102"/>
    </row>
    <row r="54" spans="1:5" ht="24" customHeight="1" x14ac:dyDescent="0.35">
      <c r="A54" s="102"/>
      <c r="B54" s="107">
        <f t="shared" si="0"/>
        <v>52</v>
      </c>
      <c r="C54" s="108" t="s">
        <v>618</v>
      </c>
      <c r="D54" s="102"/>
      <c r="E54" s="102"/>
    </row>
    <row r="55" spans="1:5" ht="24" customHeight="1" x14ac:dyDescent="0.35">
      <c r="A55" s="102"/>
      <c r="B55" s="107">
        <f t="shared" si="0"/>
        <v>53</v>
      </c>
      <c r="C55" s="108" t="s">
        <v>619</v>
      </c>
      <c r="D55" s="102"/>
      <c r="E55" s="102"/>
    </row>
    <row r="56" spans="1:5" ht="24" customHeight="1" x14ac:dyDescent="0.35">
      <c r="A56" s="102"/>
      <c r="B56" s="107">
        <f t="shared" si="0"/>
        <v>54</v>
      </c>
      <c r="C56" s="108" t="s">
        <v>620</v>
      </c>
      <c r="D56" s="102"/>
      <c r="E56" s="102"/>
    </row>
    <row r="57" spans="1:5" ht="24" customHeight="1" x14ac:dyDescent="0.35">
      <c r="A57" s="102"/>
      <c r="B57" s="107">
        <f t="shared" si="0"/>
        <v>55</v>
      </c>
      <c r="C57" s="108" t="s">
        <v>621</v>
      </c>
      <c r="D57" s="102"/>
      <c r="E57" s="102"/>
    </row>
    <row r="58" spans="1:5" ht="24" customHeight="1" x14ac:dyDescent="0.35">
      <c r="A58" s="102"/>
      <c r="B58" s="107">
        <f t="shared" si="0"/>
        <v>56</v>
      </c>
      <c r="C58" s="108" t="s">
        <v>622</v>
      </c>
      <c r="D58" s="102"/>
      <c r="E58" s="102"/>
    </row>
    <row r="59" spans="1:5" ht="24" customHeight="1" x14ac:dyDescent="0.35">
      <c r="A59" s="102"/>
      <c r="B59" s="107">
        <f t="shared" si="0"/>
        <v>57</v>
      </c>
      <c r="C59" s="108" t="s">
        <v>623</v>
      </c>
      <c r="D59" s="102"/>
      <c r="E59" s="102"/>
    </row>
    <row r="60" spans="1:5" ht="24" customHeight="1" x14ac:dyDescent="0.35">
      <c r="A60" s="102"/>
      <c r="B60" s="107">
        <f t="shared" si="0"/>
        <v>58</v>
      </c>
      <c r="C60" s="108" t="s">
        <v>624</v>
      </c>
      <c r="D60" s="102"/>
      <c r="E60" s="102"/>
    </row>
    <row r="61" spans="1:5" ht="24" customHeight="1" x14ac:dyDescent="0.35">
      <c r="A61" s="102"/>
      <c r="B61" s="107">
        <f t="shared" si="0"/>
        <v>59</v>
      </c>
      <c r="C61" s="108" t="s">
        <v>625</v>
      </c>
      <c r="D61" s="102"/>
      <c r="E61" s="102"/>
    </row>
    <row r="62" spans="1:5" ht="24" customHeight="1" x14ac:dyDescent="0.35">
      <c r="A62" s="102"/>
      <c r="B62" s="107">
        <f t="shared" si="0"/>
        <v>60</v>
      </c>
      <c r="C62" s="108" t="s">
        <v>626</v>
      </c>
      <c r="D62" s="102"/>
      <c r="E62" s="102"/>
    </row>
    <row r="63" spans="1:5" ht="24" customHeight="1" x14ac:dyDescent="0.35">
      <c r="A63" s="102"/>
      <c r="B63" s="107">
        <f t="shared" si="0"/>
        <v>61</v>
      </c>
      <c r="C63" s="108" t="s">
        <v>627</v>
      </c>
      <c r="D63" s="102"/>
      <c r="E63" s="102"/>
    </row>
    <row r="64" spans="1:5" ht="24" customHeight="1" x14ac:dyDescent="0.35">
      <c r="A64" s="102"/>
      <c r="B64" s="107">
        <f t="shared" si="0"/>
        <v>62</v>
      </c>
      <c r="C64" s="108" t="s">
        <v>628</v>
      </c>
      <c r="D64" s="102"/>
      <c r="E64" s="102"/>
    </row>
    <row r="65" spans="1:5" ht="24" customHeight="1" x14ac:dyDescent="0.35">
      <c r="A65" s="102"/>
      <c r="B65" s="107">
        <f t="shared" si="0"/>
        <v>63</v>
      </c>
      <c r="C65" s="108" t="s">
        <v>629</v>
      </c>
      <c r="D65" s="102"/>
      <c r="E65" s="102"/>
    </row>
    <row r="66" spans="1:5" ht="24" customHeight="1" x14ac:dyDescent="0.35">
      <c r="A66" s="102"/>
      <c r="B66" s="107">
        <f t="shared" si="0"/>
        <v>64</v>
      </c>
      <c r="C66" s="108" t="s">
        <v>630</v>
      </c>
      <c r="D66" s="102"/>
      <c r="E66" s="102"/>
    </row>
    <row r="67" spans="1:5" ht="24" customHeight="1" x14ac:dyDescent="0.35">
      <c r="A67" s="102"/>
      <c r="B67" s="107">
        <f t="shared" si="0"/>
        <v>65</v>
      </c>
      <c r="C67" s="108" t="s">
        <v>631</v>
      </c>
      <c r="D67" s="102"/>
      <c r="E67" s="102"/>
    </row>
    <row r="68" spans="1:5" ht="24" customHeight="1" x14ac:dyDescent="0.35">
      <c r="A68" s="102"/>
      <c r="B68" s="107">
        <f t="shared" si="0"/>
        <v>66</v>
      </c>
      <c r="C68" s="108" t="s">
        <v>632</v>
      </c>
      <c r="D68" s="102"/>
      <c r="E68" s="102"/>
    </row>
    <row r="69" spans="1:5" ht="24" customHeight="1" x14ac:dyDescent="0.35">
      <c r="A69" s="102"/>
      <c r="B69" s="107">
        <f t="shared" si="0"/>
        <v>67</v>
      </c>
      <c r="C69" s="108" t="s">
        <v>633</v>
      </c>
      <c r="D69" s="102"/>
      <c r="E69" s="102"/>
    </row>
    <row r="70" spans="1:5" ht="24" customHeight="1" x14ac:dyDescent="0.35">
      <c r="A70" s="102"/>
      <c r="B70" s="107">
        <f t="shared" si="0"/>
        <v>68</v>
      </c>
      <c r="C70" s="108" t="s">
        <v>634</v>
      </c>
      <c r="D70" s="102"/>
      <c r="E70" s="102"/>
    </row>
    <row r="71" spans="1:5" ht="24" customHeight="1" x14ac:dyDescent="0.35">
      <c r="A71" s="102"/>
      <c r="B71" s="107">
        <f t="shared" si="0"/>
        <v>69</v>
      </c>
      <c r="C71" s="108" t="s">
        <v>635</v>
      </c>
      <c r="D71" s="102"/>
      <c r="E71" s="102"/>
    </row>
    <row r="72" spans="1:5" ht="24" customHeight="1" x14ac:dyDescent="0.35">
      <c r="A72" s="102"/>
      <c r="B72" s="107">
        <f t="shared" si="0"/>
        <v>70</v>
      </c>
      <c r="C72" s="108" t="s">
        <v>636</v>
      </c>
      <c r="D72" s="102"/>
      <c r="E72" s="102"/>
    </row>
    <row r="73" spans="1:5" ht="24" customHeight="1" x14ac:dyDescent="0.35">
      <c r="A73" s="102"/>
      <c r="B73" s="107">
        <f t="shared" si="0"/>
        <v>71</v>
      </c>
      <c r="C73" s="108" t="s">
        <v>637</v>
      </c>
      <c r="D73" s="102"/>
      <c r="E73" s="102"/>
    </row>
    <row r="74" spans="1:5" ht="24" customHeight="1" x14ac:dyDescent="0.35">
      <c r="A74" s="102"/>
      <c r="B74" s="107">
        <f t="shared" si="0"/>
        <v>72</v>
      </c>
      <c r="C74" s="108" t="s">
        <v>638</v>
      </c>
      <c r="D74" s="102"/>
      <c r="E74" s="102"/>
    </row>
    <row r="75" spans="1:5" ht="24" customHeight="1" x14ac:dyDescent="0.35">
      <c r="A75" s="102"/>
      <c r="B75" s="107">
        <f t="shared" si="0"/>
        <v>73</v>
      </c>
      <c r="C75" s="108" t="s">
        <v>639</v>
      </c>
      <c r="D75" s="102"/>
      <c r="E75" s="102"/>
    </row>
    <row r="76" spans="1:5" ht="24" customHeight="1" x14ac:dyDescent="0.35">
      <c r="A76" s="102"/>
      <c r="B76" s="107">
        <f t="shared" si="0"/>
        <v>74</v>
      </c>
      <c r="C76" s="108" t="s">
        <v>640</v>
      </c>
      <c r="D76" s="102"/>
      <c r="E76" s="102"/>
    </row>
    <row r="77" spans="1:5" ht="24" customHeight="1" x14ac:dyDescent="0.35">
      <c r="A77" s="102"/>
      <c r="B77" s="107">
        <f t="shared" si="0"/>
        <v>75</v>
      </c>
      <c r="C77" s="108" t="s">
        <v>641</v>
      </c>
      <c r="D77" s="102"/>
      <c r="E77" s="102"/>
    </row>
    <row r="78" spans="1:5" ht="24" customHeight="1" x14ac:dyDescent="0.35">
      <c r="A78" s="102"/>
      <c r="B78" s="107">
        <f t="shared" si="0"/>
        <v>76</v>
      </c>
      <c r="C78" s="108" t="s">
        <v>642</v>
      </c>
      <c r="D78" s="102"/>
      <c r="E78" s="102"/>
    </row>
    <row r="79" spans="1:5" ht="24" customHeight="1" x14ac:dyDescent="0.35">
      <c r="A79" s="102"/>
      <c r="B79" s="107">
        <f t="shared" si="0"/>
        <v>77</v>
      </c>
      <c r="C79" s="108" t="s">
        <v>643</v>
      </c>
      <c r="D79" s="102"/>
      <c r="E79" s="102"/>
    </row>
    <row r="80" spans="1:5" ht="24" customHeight="1" x14ac:dyDescent="0.35">
      <c r="A80" s="102"/>
      <c r="B80" s="107">
        <f t="shared" si="0"/>
        <v>78</v>
      </c>
      <c r="C80" s="108" t="s">
        <v>644</v>
      </c>
      <c r="D80" s="102"/>
      <c r="E80" s="102"/>
    </row>
    <row r="81" spans="1:5" ht="24" customHeight="1" x14ac:dyDescent="0.35">
      <c r="A81" s="102"/>
      <c r="B81" s="107">
        <f t="shared" si="0"/>
        <v>79</v>
      </c>
      <c r="C81" s="108" t="s">
        <v>645</v>
      </c>
      <c r="D81" s="102"/>
      <c r="E81" s="102"/>
    </row>
    <row r="82" spans="1:5" ht="24" customHeight="1" x14ac:dyDescent="0.35">
      <c r="A82" s="102"/>
      <c r="B82" s="107">
        <f t="shared" si="0"/>
        <v>80</v>
      </c>
      <c r="C82" s="108" t="s">
        <v>646</v>
      </c>
      <c r="D82" s="102"/>
      <c r="E82" s="102"/>
    </row>
    <row r="83" spans="1:5" ht="24" customHeight="1" x14ac:dyDescent="0.35">
      <c r="A83" s="102"/>
      <c r="B83" s="107">
        <f t="shared" si="0"/>
        <v>81</v>
      </c>
      <c r="C83" s="108" t="s">
        <v>647</v>
      </c>
      <c r="D83" s="102"/>
      <c r="E83" s="102"/>
    </row>
    <row r="84" spans="1:5" ht="24" customHeight="1" x14ac:dyDescent="0.35">
      <c r="A84" s="102"/>
      <c r="B84" s="107">
        <f t="shared" si="0"/>
        <v>82</v>
      </c>
      <c r="C84" s="108" t="s">
        <v>648</v>
      </c>
      <c r="D84" s="102"/>
      <c r="E84" s="102"/>
    </row>
    <row r="85" spans="1:5" ht="24" customHeight="1" x14ac:dyDescent="0.35">
      <c r="A85" s="102"/>
      <c r="B85" s="107">
        <f t="shared" si="0"/>
        <v>83</v>
      </c>
      <c r="C85" s="108" t="s">
        <v>649</v>
      </c>
      <c r="D85" s="102"/>
      <c r="E85" s="102"/>
    </row>
    <row r="86" spans="1:5" ht="24" customHeight="1" x14ac:dyDescent="0.35">
      <c r="A86" s="102"/>
      <c r="B86" s="107">
        <f t="shared" si="0"/>
        <v>84</v>
      </c>
      <c r="C86" s="108" t="s">
        <v>650</v>
      </c>
      <c r="D86" s="102"/>
      <c r="E86" s="102"/>
    </row>
    <row r="87" spans="1:5" ht="24" customHeight="1" x14ac:dyDescent="0.35">
      <c r="A87" s="102"/>
      <c r="B87" s="107">
        <f t="shared" si="0"/>
        <v>85</v>
      </c>
      <c r="C87" s="108" t="s">
        <v>651</v>
      </c>
      <c r="D87" s="102"/>
      <c r="E87" s="102"/>
    </row>
    <row r="88" spans="1:5" ht="24" customHeight="1" x14ac:dyDescent="0.35">
      <c r="A88" s="102"/>
      <c r="B88" s="107">
        <f t="shared" si="0"/>
        <v>86</v>
      </c>
      <c r="C88" s="108" t="s">
        <v>652</v>
      </c>
      <c r="D88" s="102"/>
      <c r="E88" s="102"/>
    </row>
    <row r="89" spans="1:5" ht="24" customHeight="1" x14ac:dyDescent="0.35">
      <c r="A89" s="102"/>
      <c r="B89" s="107">
        <f t="shared" si="0"/>
        <v>87</v>
      </c>
      <c r="C89" s="108" t="s">
        <v>653</v>
      </c>
      <c r="D89" s="102"/>
      <c r="E89" s="102"/>
    </row>
    <row r="90" spans="1:5" ht="24" customHeight="1" x14ac:dyDescent="0.35">
      <c r="A90" s="102"/>
      <c r="B90" s="107">
        <f t="shared" si="0"/>
        <v>88</v>
      </c>
      <c r="C90" s="108" t="s">
        <v>654</v>
      </c>
      <c r="D90" s="102"/>
      <c r="E90" s="102"/>
    </row>
    <row r="91" spans="1:5" ht="24" customHeight="1" x14ac:dyDescent="0.35">
      <c r="A91" s="102"/>
      <c r="B91" s="107">
        <f t="shared" si="0"/>
        <v>89</v>
      </c>
      <c r="C91" s="108" t="s">
        <v>655</v>
      </c>
      <c r="D91" s="102"/>
      <c r="E91" s="102"/>
    </row>
    <row r="92" spans="1:5" ht="24" customHeight="1" x14ac:dyDescent="0.35">
      <c r="A92" s="102"/>
      <c r="B92" s="107">
        <f t="shared" si="0"/>
        <v>90</v>
      </c>
      <c r="C92" s="108" t="s">
        <v>656</v>
      </c>
      <c r="D92" s="102"/>
      <c r="E92" s="102"/>
    </row>
    <row r="93" spans="1:5" ht="24" customHeight="1" x14ac:dyDescent="0.35">
      <c r="A93" s="102"/>
      <c r="B93" s="107">
        <f t="shared" si="0"/>
        <v>91</v>
      </c>
      <c r="C93" s="108" t="s">
        <v>657</v>
      </c>
      <c r="D93" s="102"/>
      <c r="E93" s="102"/>
    </row>
    <row r="94" spans="1:5" ht="24" customHeight="1" x14ac:dyDescent="0.35">
      <c r="A94" s="102"/>
      <c r="B94" s="107">
        <f t="shared" si="0"/>
        <v>92</v>
      </c>
      <c r="C94" s="108" t="s">
        <v>658</v>
      </c>
      <c r="D94" s="102"/>
      <c r="E94" s="102"/>
    </row>
    <row r="95" spans="1:5" ht="24" customHeight="1" x14ac:dyDescent="0.35">
      <c r="A95" s="102"/>
      <c r="B95" s="107">
        <f t="shared" si="0"/>
        <v>93</v>
      </c>
      <c r="C95" s="108" t="s">
        <v>659</v>
      </c>
      <c r="D95" s="102"/>
      <c r="E95" s="102"/>
    </row>
    <row r="96" spans="1:5" ht="24" customHeight="1" x14ac:dyDescent="0.35">
      <c r="A96" s="102"/>
      <c r="B96" s="107">
        <f t="shared" si="0"/>
        <v>94</v>
      </c>
      <c r="C96" s="108" t="s">
        <v>660</v>
      </c>
      <c r="D96" s="102"/>
      <c r="E96" s="102"/>
    </row>
    <row r="97" spans="1:5" ht="24" customHeight="1" x14ac:dyDescent="0.35">
      <c r="A97" s="102"/>
      <c r="B97" s="107">
        <f t="shared" si="0"/>
        <v>95</v>
      </c>
      <c r="C97" s="108" t="s">
        <v>661</v>
      </c>
      <c r="D97" s="102"/>
      <c r="E97" s="102"/>
    </row>
    <row r="98" spans="1:5" ht="24" customHeight="1" x14ac:dyDescent="0.35">
      <c r="A98" s="102"/>
      <c r="B98" s="107">
        <f t="shared" si="0"/>
        <v>96</v>
      </c>
      <c r="C98" s="108" t="s">
        <v>662</v>
      </c>
      <c r="D98" s="102"/>
      <c r="E98" s="102"/>
    </row>
    <row r="99" spans="1:5" ht="24" customHeight="1" x14ac:dyDescent="0.35">
      <c r="A99" s="102"/>
      <c r="B99" s="107">
        <f t="shared" si="0"/>
        <v>97</v>
      </c>
      <c r="C99" s="108" t="s">
        <v>663</v>
      </c>
      <c r="D99" s="102"/>
      <c r="E99" s="102"/>
    </row>
    <row r="100" spans="1:5" ht="24" customHeight="1" x14ac:dyDescent="0.35">
      <c r="A100" s="102"/>
      <c r="B100" s="107">
        <f t="shared" si="0"/>
        <v>98</v>
      </c>
      <c r="C100" s="108" t="s">
        <v>664</v>
      </c>
      <c r="D100" s="102"/>
      <c r="E100" s="102"/>
    </row>
    <row r="101" spans="1:5" ht="24" customHeight="1" x14ac:dyDescent="0.35">
      <c r="A101" s="102"/>
      <c r="B101" s="107">
        <f t="shared" si="0"/>
        <v>99</v>
      </c>
      <c r="C101" s="108" t="s">
        <v>665</v>
      </c>
      <c r="D101" s="102"/>
      <c r="E101" s="102"/>
    </row>
    <row r="102" spans="1:5" ht="24" customHeight="1" x14ac:dyDescent="0.35">
      <c r="A102" s="102"/>
      <c r="B102" s="107">
        <f t="shared" si="0"/>
        <v>100</v>
      </c>
      <c r="C102" s="108" t="s">
        <v>666</v>
      </c>
      <c r="D102" s="102"/>
      <c r="E102" s="102"/>
    </row>
    <row r="103" spans="1:5" ht="24" customHeight="1" x14ac:dyDescent="0.35">
      <c r="A103" s="102"/>
      <c r="B103" s="107">
        <f t="shared" si="0"/>
        <v>101</v>
      </c>
      <c r="C103" s="108" t="s">
        <v>667</v>
      </c>
      <c r="D103" s="102"/>
      <c r="E103" s="102"/>
    </row>
    <row r="104" spans="1:5" ht="24" customHeight="1" x14ac:dyDescent="0.35">
      <c r="A104" s="102"/>
      <c r="B104" s="107">
        <f t="shared" si="0"/>
        <v>102</v>
      </c>
      <c r="C104" s="108" t="s">
        <v>668</v>
      </c>
      <c r="D104" s="102"/>
      <c r="E104" s="102"/>
    </row>
    <row r="105" spans="1:5" ht="24" customHeight="1" x14ac:dyDescent="0.35">
      <c r="A105" s="102"/>
      <c r="B105" s="107">
        <f t="shared" si="0"/>
        <v>103</v>
      </c>
      <c r="C105" s="108" t="s">
        <v>669</v>
      </c>
      <c r="D105" s="102"/>
      <c r="E105" s="102"/>
    </row>
    <row r="106" spans="1:5" ht="24" customHeight="1" x14ac:dyDescent="0.35">
      <c r="A106" s="102"/>
      <c r="B106" s="107">
        <f t="shared" si="0"/>
        <v>104</v>
      </c>
      <c r="C106" s="108" t="s">
        <v>670</v>
      </c>
      <c r="D106" s="102"/>
      <c r="E106" s="102"/>
    </row>
    <row r="107" spans="1:5" ht="24" customHeight="1" x14ac:dyDescent="0.35">
      <c r="A107" s="102"/>
      <c r="B107" s="107">
        <f t="shared" si="0"/>
        <v>105</v>
      </c>
      <c r="C107" s="108" t="s">
        <v>671</v>
      </c>
      <c r="D107" s="102"/>
      <c r="E107" s="102"/>
    </row>
    <row r="108" spans="1:5" ht="24" customHeight="1" x14ac:dyDescent="0.35">
      <c r="A108" s="102"/>
      <c r="B108" s="107">
        <f t="shared" si="0"/>
        <v>106</v>
      </c>
      <c r="C108" s="108" t="s">
        <v>672</v>
      </c>
      <c r="D108" s="102"/>
      <c r="E108" s="102"/>
    </row>
    <row r="109" spans="1:5" ht="24" customHeight="1" x14ac:dyDescent="0.35">
      <c r="A109" s="102"/>
      <c r="B109" s="107">
        <f t="shared" si="0"/>
        <v>107</v>
      </c>
      <c r="C109" s="108" t="s">
        <v>673</v>
      </c>
      <c r="D109" s="102"/>
      <c r="E109" s="102"/>
    </row>
    <row r="110" spans="1:5" ht="24" customHeight="1" x14ac:dyDescent="0.35">
      <c r="A110" s="102"/>
      <c r="B110" s="107">
        <f t="shared" si="0"/>
        <v>108</v>
      </c>
      <c r="C110" s="108" t="s">
        <v>674</v>
      </c>
      <c r="D110" s="102"/>
      <c r="E110" s="102"/>
    </row>
    <row r="111" spans="1:5" ht="24" customHeight="1" x14ac:dyDescent="0.35">
      <c r="A111" s="102"/>
      <c r="B111" s="107">
        <f t="shared" si="0"/>
        <v>109</v>
      </c>
      <c r="C111" s="108" t="s">
        <v>675</v>
      </c>
      <c r="D111" s="102"/>
      <c r="E111" s="102"/>
    </row>
    <row r="112" spans="1:5" ht="24" customHeight="1" x14ac:dyDescent="0.35">
      <c r="A112" s="102"/>
      <c r="B112" s="107">
        <f t="shared" si="0"/>
        <v>110</v>
      </c>
      <c r="C112" s="108" t="s">
        <v>676</v>
      </c>
      <c r="D112" s="102"/>
      <c r="E112" s="102"/>
    </row>
    <row r="113" spans="1:5" ht="24" customHeight="1" x14ac:dyDescent="0.35">
      <c r="A113" s="102"/>
      <c r="B113" s="107">
        <f t="shared" si="0"/>
        <v>111</v>
      </c>
      <c r="C113" s="108" t="s">
        <v>677</v>
      </c>
      <c r="D113" s="102"/>
      <c r="E113" s="102"/>
    </row>
    <row r="114" spans="1:5" ht="24" customHeight="1" x14ac:dyDescent="0.35">
      <c r="A114" s="102"/>
      <c r="B114" s="107">
        <f t="shared" si="0"/>
        <v>112</v>
      </c>
      <c r="C114" s="108" t="s">
        <v>678</v>
      </c>
      <c r="D114" s="102"/>
      <c r="E114" s="102"/>
    </row>
    <row r="115" spans="1:5" ht="24" customHeight="1" x14ac:dyDescent="0.35">
      <c r="A115" s="102"/>
      <c r="B115" s="107">
        <f t="shared" si="0"/>
        <v>113</v>
      </c>
      <c r="C115" s="108" t="s">
        <v>679</v>
      </c>
      <c r="D115" s="102"/>
      <c r="E115" s="102"/>
    </row>
    <row r="116" spans="1:5" ht="24" customHeight="1" x14ac:dyDescent="0.35">
      <c r="A116" s="102"/>
      <c r="B116" s="107">
        <f t="shared" si="0"/>
        <v>114</v>
      </c>
      <c r="C116" s="108" t="s">
        <v>680</v>
      </c>
      <c r="D116" s="102"/>
      <c r="E116" s="102"/>
    </row>
    <row r="117" spans="1:5" ht="24" customHeight="1" x14ac:dyDescent="0.35">
      <c r="A117" s="102"/>
      <c r="B117" s="107">
        <f t="shared" si="0"/>
        <v>115</v>
      </c>
      <c r="C117" s="108" t="s">
        <v>681</v>
      </c>
      <c r="D117" s="102"/>
      <c r="E117" s="102"/>
    </row>
    <row r="118" spans="1:5" ht="24" customHeight="1" x14ac:dyDescent="0.35">
      <c r="A118" s="102"/>
      <c r="B118" s="107">
        <f t="shared" si="0"/>
        <v>116</v>
      </c>
      <c r="C118" s="108" t="s">
        <v>682</v>
      </c>
      <c r="D118" s="102"/>
      <c r="E118" s="102"/>
    </row>
    <row r="119" spans="1:5" ht="24" customHeight="1" x14ac:dyDescent="0.35">
      <c r="A119" s="102"/>
      <c r="B119" s="107">
        <f t="shared" si="0"/>
        <v>117</v>
      </c>
      <c r="C119" s="108" t="s">
        <v>683</v>
      </c>
      <c r="D119" s="102"/>
      <c r="E119" s="102"/>
    </row>
    <row r="120" spans="1:5" ht="24" customHeight="1" x14ac:dyDescent="0.35">
      <c r="A120" s="102"/>
      <c r="B120" s="107">
        <f t="shared" si="0"/>
        <v>118</v>
      </c>
      <c r="C120" s="108" t="s">
        <v>684</v>
      </c>
      <c r="D120" s="102"/>
      <c r="E120" s="102"/>
    </row>
    <row r="121" spans="1:5" ht="24" customHeight="1" x14ac:dyDescent="0.35">
      <c r="A121" s="102"/>
      <c r="B121" s="107">
        <f t="shared" si="0"/>
        <v>119</v>
      </c>
      <c r="C121" s="108" t="s">
        <v>685</v>
      </c>
      <c r="D121" s="102"/>
      <c r="E121" s="102"/>
    </row>
    <row r="122" spans="1:5" ht="24" customHeight="1" x14ac:dyDescent="0.35">
      <c r="A122" s="102"/>
      <c r="B122" s="107">
        <f t="shared" si="0"/>
        <v>120</v>
      </c>
      <c r="C122" s="108" t="s">
        <v>686</v>
      </c>
      <c r="D122" s="102"/>
      <c r="E122" s="102"/>
    </row>
    <row r="123" spans="1:5" ht="24" customHeight="1" x14ac:dyDescent="0.35">
      <c r="A123" s="102"/>
      <c r="B123" s="107">
        <f t="shared" si="0"/>
        <v>121</v>
      </c>
      <c r="C123" s="108" t="s">
        <v>687</v>
      </c>
      <c r="D123" s="102"/>
      <c r="E123" s="102"/>
    </row>
    <row r="124" spans="1:5" ht="24" customHeight="1" x14ac:dyDescent="0.35">
      <c r="A124" s="102"/>
      <c r="B124" s="107">
        <f t="shared" si="0"/>
        <v>122</v>
      </c>
      <c r="C124" s="108" t="s">
        <v>688</v>
      </c>
      <c r="D124" s="102"/>
      <c r="E124" s="102"/>
    </row>
    <row r="125" spans="1:5" ht="24" customHeight="1" x14ac:dyDescent="0.35">
      <c r="A125" s="102"/>
      <c r="B125" s="107">
        <f t="shared" si="0"/>
        <v>123</v>
      </c>
      <c r="C125" s="108" t="s">
        <v>689</v>
      </c>
      <c r="D125" s="102"/>
      <c r="E125" s="102"/>
    </row>
    <row r="126" spans="1:5" ht="24" customHeight="1" x14ac:dyDescent="0.35">
      <c r="A126" s="102"/>
      <c r="B126" s="107">
        <f t="shared" si="0"/>
        <v>124</v>
      </c>
      <c r="C126" s="108" t="s">
        <v>690</v>
      </c>
      <c r="D126" s="102"/>
      <c r="E126" s="102"/>
    </row>
    <row r="127" spans="1:5" ht="24" customHeight="1" x14ac:dyDescent="0.35">
      <c r="A127" s="102"/>
      <c r="B127" s="107">
        <f t="shared" si="0"/>
        <v>125</v>
      </c>
      <c r="C127" s="108" t="s">
        <v>691</v>
      </c>
      <c r="D127" s="102"/>
      <c r="E127" s="102"/>
    </row>
    <row r="128" spans="1:5" ht="24" customHeight="1" x14ac:dyDescent="0.35">
      <c r="A128" s="102"/>
      <c r="B128" s="107">
        <f t="shared" si="0"/>
        <v>126</v>
      </c>
      <c r="C128" s="108" t="s">
        <v>692</v>
      </c>
      <c r="D128" s="102"/>
      <c r="E128" s="102"/>
    </row>
    <row r="129" spans="1:5" ht="24" customHeight="1" x14ac:dyDescent="0.35">
      <c r="A129" s="102"/>
      <c r="B129" s="107">
        <f t="shared" si="0"/>
        <v>127</v>
      </c>
      <c r="C129" s="108" t="s">
        <v>693</v>
      </c>
      <c r="D129" s="102"/>
      <c r="E129" s="102"/>
    </row>
    <row r="130" spans="1:5" ht="24" customHeight="1" x14ac:dyDescent="0.35">
      <c r="A130" s="102"/>
      <c r="B130" s="107">
        <f t="shared" si="0"/>
        <v>128</v>
      </c>
      <c r="C130" s="108" t="s">
        <v>694</v>
      </c>
      <c r="D130" s="102"/>
      <c r="E130" s="102"/>
    </row>
    <row r="131" spans="1:5" ht="24" customHeight="1" x14ac:dyDescent="0.35">
      <c r="A131" s="102"/>
      <c r="B131" s="107">
        <f t="shared" si="0"/>
        <v>129</v>
      </c>
      <c r="C131" s="108" t="s">
        <v>695</v>
      </c>
      <c r="D131" s="102"/>
      <c r="E131" s="102"/>
    </row>
    <row r="132" spans="1:5" ht="24" customHeight="1" x14ac:dyDescent="0.35">
      <c r="A132" s="102"/>
      <c r="B132" s="107">
        <f t="shared" si="0"/>
        <v>130</v>
      </c>
      <c r="C132" s="108" t="s">
        <v>696</v>
      </c>
      <c r="D132" s="102"/>
      <c r="E132" s="102"/>
    </row>
    <row r="133" spans="1:5" ht="24" customHeight="1" x14ac:dyDescent="0.35">
      <c r="A133" s="102"/>
      <c r="B133" s="107">
        <f t="shared" si="0"/>
        <v>131</v>
      </c>
      <c r="C133" s="108" t="s">
        <v>697</v>
      </c>
      <c r="D133" s="102"/>
      <c r="E133" s="102"/>
    </row>
    <row r="134" spans="1:5" ht="24" customHeight="1" x14ac:dyDescent="0.35">
      <c r="A134" s="102"/>
      <c r="B134" s="107">
        <f t="shared" si="0"/>
        <v>132</v>
      </c>
      <c r="C134" s="108" t="s">
        <v>698</v>
      </c>
      <c r="D134" s="102"/>
      <c r="E134" s="102"/>
    </row>
    <row r="135" spans="1:5" ht="24" customHeight="1" x14ac:dyDescent="0.35">
      <c r="A135" s="102"/>
      <c r="B135" s="107">
        <f t="shared" si="0"/>
        <v>133</v>
      </c>
      <c r="C135" s="108" t="s">
        <v>699</v>
      </c>
      <c r="D135" s="102"/>
      <c r="E135" s="102"/>
    </row>
    <row r="136" spans="1:5" ht="24" customHeight="1" x14ac:dyDescent="0.35">
      <c r="A136" s="102"/>
      <c r="B136" s="107">
        <f t="shared" si="0"/>
        <v>134</v>
      </c>
      <c r="C136" s="108" t="s">
        <v>700</v>
      </c>
      <c r="D136" s="102"/>
      <c r="E136" s="102"/>
    </row>
    <row r="137" spans="1:5" ht="24" customHeight="1" x14ac:dyDescent="0.35">
      <c r="A137" s="102"/>
      <c r="B137" s="107">
        <f t="shared" si="0"/>
        <v>135</v>
      </c>
      <c r="C137" s="108" t="s">
        <v>701</v>
      </c>
      <c r="D137" s="102"/>
      <c r="E137" s="102"/>
    </row>
    <row r="138" spans="1:5" ht="24" customHeight="1" x14ac:dyDescent="0.35">
      <c r="A138" s="102"/>
      <c r="B138" s="107">
        <f t="shared" si="0"/>
        <v>136</v>
      </c>
      <c r="C138" s="108" t="s">
        <v>702</v>
      </c>
      <c r="D138" s="102"/>
      <c r="E138" s="102"/>
    </row>
    <row r="139" spans="1:5" ht="24" customHeight="1" x14ac:dyDescent="0.35">
      <c r="A139" s="102"/>
      <c r="B139" s="107">
        <f t="shared" si="0"/>
        <v>137</v>
      </c>
      <c r="C139" s="108" t="s">
        <v>703</v>
      </c>
      <c r="D139" s="102"/>
      <c r="E139" s="102"/>
    </row>
    <row r="140" spans="1:5" ht="24" customHeight="1" x14ac:dyDescent="0.35">
      <c r="A140" s="102"/>
      <c r="B140" s="107">
        <f t="shared" si="0"/>
        <v>138</v>
      </c>
      <c r="C140" s="108" t="s">
        <v>704</v>
      </c>
      <c r="D140" s="102"/>
      <c r="E140" s="102"/>
    </row>
    <row r="141" spans="1:5" ht="24" customHeight="1" x14ac:dyDescent="0.35">
      <c r="A141" s="102"/>
      <c r="B141" s="107">
        <f t="shared" si="0"/>
        <v>139</v>
      </c>
      <c r="C141" s="108" t="s">
        <v>705</v>
      </c>
      <c r="D141" s="102"/>
      <c r="E141" s="102"/>
    </row>
    <row r="142" spans="1:5" ht="24" customHeight="1" x14ac:dyDescent="0.35">
      <c r="A142" s="102"/>
      <c r="B142" s="107">
        <f t="shared" si="0"/>
        <v>140</v>
      </c>
      <c r="C142" s="108" t="s">
        <v>706</v>
      </c>
      <c r="D142" s="102"/>
      <c r="E142" s="102"/>
    </row>
    <row r="143" spans="1:5" ht="24" customHeight="1" x14ac:dyDescent="0.35">
      <c r="A143" s="102"/>
      <c r="B143" s="107">
        <f t="shared" si="0"/>
        <v>141</v>
      </c>
      <c r="C143" s="108" t="s">
        <v>707</v>
      </c>
      <c r="D143" s="102"/>
      <c r="E143" s="102"/>
    </row>
    <row r="144" spans="1:5" ht="24" customHeight="1" x14ac:dyDescent="0.35">
      <c r="A144" s="102"/>
      <c r="B144" s="107">
        <f t="shared" si="0"/>
        <v>142</v>
      </c>
      <c r="C144" s="108" t="s">
        <v>708</v>
      </c>
      <c r="D144" s="102"/>
      <c r="E144" s="102"/>
    </row>
    <row r="145" spans="1:5" ht="24" customHeight="1" x14ac:dyDescent="0.35">
      <c r="A145" s="102"/>
      <c r="B145" s="107">
        <f t="shared" si="0"/>
        <v>143</v>
      </c>
      <c r="C145" s="108" t="s">
        <v>709</v>
      </c>
      <c r="D145" s="102"/>
      <c r="E145" s="102"/>
    </row>
    <row r="146" spans="1:5" ht="24" customHeight="1" x14ac:dyDescent="0.35">
      <c r="A146" s="102"/>
      <c r="B146" s="107">
        <f t="shared" si="0"/>
        <v>144</v>
      </c>
      <c r="C146" s="108" t="s">
        <v>710</v>
      </c>
      <c r="D146" s="102"/>
      <c r="E146" s="102"/>
    </row>
    <row r="147" spans="1:5" ht="24" customHeight="1" x14ac:dyDescent="0.35">
      <c r="A147" s="102"/>
      <c r="B147" s="107">
        <f t="shared" si="0"/>
        <v>145</v>
      </c>
      <c r="C147" s="108" t="s">
        <v>711</v>
      </c>
      <c r="D147" s="102"/>
      <c r="E147" s="102"/>
    </row>
    <row r="148" spans="1:5" ht="24" customHeight="1" x14ac:dyDescent="0.35">
      <c r="A148" s="102"/>
      <c r="B148" s="107">
        <f t="shared" si="0"/>
        <v>146</v>
      </c>
      <c r="C148" s="108" t="s">
        <v>712</v>
      </c>
      <c r="D148" s="102"/>
      <c r="E148" s="102"/>
    </row>
    <row r="149" spans="1:5" ht="24" customHeight="1" x14ac:dyDescent="0.35">
      <c r="A149" s="102"/>
      <c r="B149" s="107">
        <f t="shared" si="0"/>
        <v>147</v>
      </c>
      <c r="C149" s="108" t="s">
        <v>713</v>
      </c>
      <c r="D149" s="102"/>
      <c r="E149" s="102"/>
    </row>
    <row r="150" spans="1:5" ht="24" customHeight="1" x14ac:dyDescent="0.35">
      <c r="A150" s="102"/>
      <c r="B150" s="107">
        <f t="shared" si="0"/>
        <v>148</v>
      </c>
      <c r="C150" s="108" t="s">
        <v>714</v>
      </c>
      <c r="D150" s="102"/>
      <c r="E150" s="102"/>
    </row>
    <row r="151" spans="1:5" ht="24" customHeight="1" x14ac:dyDescent="0.35">
      <c r="A151" s="102"/>
      <c r="B151" s="107">
        <f t="shared" si="0"/>
        <v>149</v>
      </c>
      <c r="C151" s="108" t="s">
        <v>715</v>
      </c>
      <c r="D151" s="102"/>
      <c r="E151" s="102"/>
    </row>
    <row r="152" spans="1:5" ht="24" customHeight="1" x14ac:dyDescent="0.35">
      <c r="A152" s="102"/>
      <c r="B152" s="107">
        <f t="shared" si="0"/>
        <v>150</v>
      </c>
      <c r="C152" s="108" t="s">
        <v>716</v>
      </c>
      <c r="D152" s="102"/>
      <c r="E152" s="102"/>
    </row>
    <row r="153" spans="1:5" ht="24" customHeight="1" x14ac:dyDescent="0.35">
      <c r="A153" s="102"/>
      <c r="B153" s="107">
        <f t="shared" si="0"/>
        <v>151</v>
      </c>
      <c r="C153" s="108" t="s">
        <v>717</v>
      </c>
      <c r="D153" s="102"/>
      <c r="E153" s="102"/>
    </row>
    <row r="154" spans="1:5" ht="24" customHeight="1" x14ac:dyDescent="0.35">
      <c r="A154" s="102"/>
      <c r="B154" s="107">
        <f t="shared" si="0"/>
        <v>152</v>
      </c>
      <c r="C154" s="108" t="s">
        <v>718</v>
      </c>
      <c r="D154" s="102"/>
      <c r="E154" s="102"/>
    </row>
    <row r="155" spans="1:5" ht="24" customHeight="1" x14ac:dyDescent="0.35">
      <c r="A155" s="102"/>
      <c r="B155" s="107">
        <f t="shared" si="0"/>
        <v>153</v>
      </c>
      <c r="C155" s="108" t="s">
        <v>719</v>
      </c>
      <c r="D155" s="102"/>
      <c r="E155" s="102"/>
    </row>
    <row r="156" spans="1:5" ht="24" customHeight="1" x14ac:dyDescent="0.35">
      <c r="A156" s="102"/>
      <c r="B156" s="107">
        <f t="shared" si="0"/>
        <v>154</v>
      </c>
      <c r="C156" s="108" t="s">
        <v>720</v>
      </c>
      <c r="D156" s="102"/>
      <c r="E156" s="102"/>
    </row>
    <row r="157" spans="1:5" ht="24" customHeight="1" x14ac:dyDescent="0.35">
      <c r="A157" s="102"/>
      <c r="B157" s="107">
        <f t="shared" si="0"/>
        <v>155</v>
      </c>
      <c r="C157" s="108" t="s">
        <v>721</v>
      </c>
      <c r="D157" s="102"/>
      <c r="E157" s="102"/>
    </row>
    <row r="158" spans="1:5" ht="24" customHeight="1" x14ac:dyDescent="0.35">
      <c r="A158" s="102"/>
      <c r="B158" s="107">
        <f t="shared" si="0"/>
        <v>156</v>
      </c>
      <c r="C158" s="108" t="s">
        <v>722</v>
      </c>
      <c r="D158" s="102"/>
      <c r="E158" s="102"/>
    </row>
    <row r="159" spans="1:5" ht="24" customHeight="1" x14ac:dyDescent="0.35">
      <c r="A159" s="102"/>
      <c r="B159" s="107">
        <f t="shared" si="0"/>
        <v>157</v>
      </c>
      <c r="C159" s="108" t="s">
        <v>555</v>
      </c>
      <c r="D159" s="102"/>
      <c r="E159" s="102"/>
    </row>
    <row r="160" spans="1:5" ht="24" customHeight="1" x14ac:dyDescent="0.35">
      <c r="A160" s="102"/>
      <c r="B160" s="107">
        <f t="shared" si="0"/>
        <v>158</v>
      </c>
      <c r="C160" s="108" t="s">
        <v>723</v>
      </c>
      <c r="D160" s="102"/>
      <c r="E160" s="102"/>
    </row>
    <row r="161" spans="1:5" ht="24" customHeight="1" x14ac:dyDescent="0.35">
      <c r="A161" s="102"/>
      <c r="B161" s="107">
        <f t="shared" si="0"/>
        <v>159</v>
      </c>
      <c r="C161" s="108" t="s">
        <v>724</v>
      </c>
      <c r="D161" s="102"/>
      <c r="E161" s="102"/>
    </row>
    <row r="162" spans="1:5" ht="24" customHeight="1" x14ac:dyDescent="0.35">
      <c r="A162" s="102"/>
      <c r="B162" s="107">
        <f t="shared" si="0"/>
        <v>160</v>
      </c>
      <c r="C162" s="106" t="s">
        <v>725</v>
      </c>
      <c r="D162" s="102"/>
      <c r="E162" s="102"/>
    </row>
    <row r="163" spans="1:5" ht="24" customHeight="1" x14ac:dyDescent="0.35">
      <c r="A163" s="103"/>
      <c r="B163" s="107">
        <f t="shared" si="0"/>
        <v>161</v>
      </c>
      <c r="C163" s="108"/>
      <c r="D163" s="103"/>
      <c r="E163" s="103"/>
    </row>
    <row r="164" spans="1:5" ht="12.75" customHeight="1" x14ac:dyDescent="0.35">
      <c r="A164" s="103"/>
      <c r="B164" s="103"/>
      <c r="C164" s="103"/>
      <c r="D164" s="103"/>
      <c r="E164" s="103"/>
    </row>
    <row r="165" spans="1:5" ht="12.75" customHeight="1" x14ac:dyDescent="0.2"/>
    <row r="166" spans="1:5" ht="12.75" customHeight="1" x14ac:dyDescent="0.2"/>
    <row r="167" spans="1:5" ht="12.75" customHeight="1" x14ac:dyDescent="0.2"/>
    <row r="168" spans="1:5" ht="12.75" customHeight="1" x14ac:dyDescent="0.2"/>
    <row r="169" spans="1:5" ht="12.75" customHeight="1" x14ac:dyDescent="0.2"/>
    <row r="170" spans="1:5" ht="12.75" customHeight="1" x14ac:dyDescent="0.2"/>
    <row r="171" spans="1:5" ht="12.75" customHeight="1" x14ac:dyDescent="0.2"/>
    <row r="172" spans="1:5" ht="12.75" customHeight="1" x14ac:dyDescent="0.2"/>
    <row r="173" spans="1:5" ht="12.75" customHeight="1" x14ac:dyDescent="0.2"/>
    <row r="174" spans="1:5" ht="12.75" customHeight="1" x14ac:dyDescent="0.2"/>
    <row r="175" spans="1:5" ht="12.75" customHeight="1" x14ac:dyDescent="0.2"/>
    <row r="176" spans="1:5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Matriz</vt:lpstr>
      <vt:lpstr>Tabla SxP </vt:lpstr>
      <vt:lpstr>Listado P-RC</vt:lpstr>
      <vt:lpstr> Puestos de Trabajo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Jackeline Patricia Saavedra Díaz</dc:creator>
  <cp:lastModifiedBy>IVAN CHAPARREA ANDRADE</cp:lastModifiedBy>
  <cp:lastPrinted>2026-08-13T02:53:29Z</cp:lastPrinted>
  <dcterms:created xsi:type="dcterms:W3CDTF">2013-03-19T21:52:29Z</dcterms:created>
  <dcterms:modified xsi:type="dcterms:W3CDTF">2026-08-27T19:32:55Z</dcterms:modified>
</cp:coreProperties>
</file>